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slicers/slicer3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Катя\Аналитика\практика\2026-05. Teen_Mental_Health(Excel)\Teen-Mental-Health_Excel\"/>
    </mc:Choice>
  </mc:AlternateContent>
  <xr:revisionPtr revIDLastSave="0" documentId="13_ncr:1_{CDF167AA-C946-4606-B54C-2F9FF464C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ing Sheet" sheetId="5" r:id="rId1"/>
    <sheet name="Pivot tables" sheetId="6" r:id="rId2"/>
    <sheet name="Dashboard_demographic" sheetId="7" r:id="rId3"/>
    <sheet name="Dashboard_socmedia" sheetId="9" r:id="rId4"/>
    <sheet name="Dashboard_lifestyle" sheetId="10" r:id="rId5"/>
  </sheets>
  <definedNames>
    <definedName name="ExternalData_1" localSheetId="0" hidden="1">'Working Sheet'!$A$1:$P$1201</definedName>
    <definedName name="Срез_age">#N/A</definedName>
    <definedName name="Срез_gende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K1201" i="5"/>
  <c r="G1201" i="5"/>
  <c r="K1200" i="5"/>
  <c r="G1200" i="5"/>
  <c r="K1199" i="5"/>
  <c r="G1199" i="5"/>
  <c r="K1198" i="5"/>
  <c r="G1198" i="5"/>
  <c r="K1197" i="5"/>
  <c r="G1197" i="5"/>
  <c r="K1196" i="5"/>
  <c r="G1196" i="5"/>
  <c r="K1195" i="5"/>
  <c r="G1195" i="5"/>
  <c r="K1194" i="5"/>
  <c r="G1194" i="5"/>
  <c r="K1193" i="5"/>
  <c r="G1193" i="5"/>
  <c r="K1192" i="5"/>
  <c r="G1192" i="5"/>
  <c r="K1191" i="5"/>
  <c r="G1191" i="5"/>
  <c r="K1190" i="5"/>
  <c r="G1190" i="5"/>
  <c r="K1189" i="5"/>
  <c r="G1189" i="5"/>
  <c r="K1188" i="5"/>
  <c r="G1188" i="5"/>
  <c r="K1187" i="5"/>
  <c r="G1187" i="5"/>
  <c r="K1186" i="5"/>
  <c r="G1186" i="5"/>
  <c r="K1185" i="5"/>
  <c r="G1185" i="5"/>
  <c r="K1184" i="5"/>
  <c r="G1184" i="5"/>
  <c r="K1183" i="5"/>
  <c r="G1183" i="5"/>
  <c r="K1182" i="5"/>
  <c r="G1182" i="5"/>
  <c r="K1181" i="5"/>
  <c r="G1181" i="5"/>
  <c r="K1180" i="5"/>
  <c r="G1180" i="5"/>
  <c r="K1179" i="5"/>
  <c r="G1179" i="5"/>
  <c r="K1178" i="5"/>
  <c r="G1178" i="5"/>
  <c r="K1177" i="5"/>
  <c r="G1177" i="5"/>
  <c r="K1176" i="5"/>
  <c r="G1176" i="5"/>
  <c r="K1175" i="5"/>
  <c r="G1175" i="5"/>
  <c r="K1174" i="5"/>
  <c r="G1174" i="5"/>
  <c r="K1173" i="5"/>
  <c r="G1173" i="5"/>
  <c r="K1172" i="5"/>
  <c r="G1172" i="5"/>
  <c r="K1171" i="5"/>
  <c r="G1171" i="5"/>
  <c r="K1170" i="5"/>
  <c r="G1170" i="5"/>
  <c r="K1169" i="5"/>
  <c r="G1169" i="5"/>
  <c r="K1168" i="5"/>
  <c r="G1168" i="5"/>
  <c r="K1167" i="5"/>
  <c r="G1167" i="5"/>
  <c r="K1166" i="5"/>
  <c r="G1166" i="5"/>
  <c r="K1165" i="5"/>
  <c r="G1165" i="5"/>
  <c r="K1164" i="5"/>
  <c r="G1164" i="5"/>
  <c r="K1163" i="5"/>
  <c r="G1163" i="5"/>
  <c r="K1162" i="5"/>
  <c r="G1162" i="5"/>
  <c r="K1161" i="5"/>
  <c r="G1161" i="5"/>
  <c r="K1160" i="5"/>
  <c r="G1160" i="5"/>
  <c r="K1159" i="5"/>
  <c r="G1159" i="5"/>
  <c r="K1158" i="5"/>
  <c r="G1158" i="5"/>
  <c r="K1157" i="5"/>
  <c r="G1157" i="5"/>
  <c r="K1156" i="5"/>
  <c r="G1156" i="5"/>
  <c r="K1155" i="5"/>
  <c r="G1155" i="5"/>
  <c r="K1154" i="5"/>
  <c r="G1154" i="5"/>
  <c r="K1153" i="5"/>
  <c r="G1153" i="5"/>
  <c r="K1152" i="5"/>
  <c r="G1152" i="5"/>
  <c r="K1151" i="5"/>
  <c r="G1151" i="5"/>
  <c r="K1150" i="5"/>
  <c r="G1150" i="5"/>
  <c r="K1149" i="5"/>
  <c r="G1149" i="5"/>
  <c r="K1148" i="5"/>
  <c r="G1148" i="5"/>
  <c r="K1147" i="5"/>
  <c r="G1147" i="5"/>
  <c r="K1146" i="5"/>
  <c r="G1146" i="5"/>
  <c r="K1145" i="5"/>
  <c r="G1145" i="5"/>
  <c r="K1144" i="5"/>
  <c r="G1144" i="5"/>
  <c r="K1143" i="5"/>
  <c r="G1143" i="5"/>
  <c r="K1142" i="5"/>
  <c r="G1142" i="5"/>
  <c r="K1141" i="5"/>
  <c r="G1141" i="5"/>
  <c r="K1140" i="5"/>
  <c r="G1140" i="5"/>
  <c r="K1139" i="5"/>
  <c r="G1139" i="5"/>
  <c r="K1138" i="5"/>
  <c r="G1138" i="5"/>
  <c r="K1137" i="5"/>
  <c r="G1137" i="5"/>
  <c r="K1136" i="5"/>
  <c r="G1136" i="5"/>
  <c r="K1135" i="5"/>
  <c r="G1135" i="5"/>
  <c r="K1134" i="5"/>
  <c r="G1134" i="5"/>
  <c r="K1133" i="5"/>
  <c r="G1133" i="5"/>
  <c r="K1132" i="5"/>
  <c r="G1132" i="5"/>
  <c r="K1131" i="5"/>
  <c r="G1131" i="5"/>
  <c r="K1130" i="5"/>
  <c r="G1130" i="5"/>
  <c r="K1129" i="5"/>
  <c r="G1129" i="5"/>
  <c r="K1128" i="5"/>
  <c r="G1128" i="5"/>
  <c r="K1127" i="5"/>
  <c r="G1127" i="5"/>
  <c r="K1126" i="5"/>
  <c r="G1126" i="5"/>
  <c r="K1125" i="5"/>
  <c r="G1125" i="5"/>
  <c r="K1124" i="5"/>
  <c r="G1124" i="5"/>
  <c r="K1123" i="5"/>
  <c r="G1123" i="5"/>
  <c r="K1122" i="5"/>
  <c r="G1122" i="5"/>
  <c r="K1121" i="5"/>
  <c r="G1121" i="5"/>
  <c r="K1120" i="5"/>
  <c r="G1120" i="5"/>
  <c r="K1119" i="5"/>
  <c r="G1119" i="5"/>
  <c r="K1118" i="5"/>
  <c r="G1118" i="5"/>
  <c r="K1117" i="5"/>
  <c r="G1117" i="5"/>
  <c r="K1116" i="5"/>
  <c r="G1116" i="5"/>
  <c r="K1115" i="5"/>
  <c r="G1115" i="5"/>
  <c r="K1114" i="5"/>
  <c r="G1114" i="5"/>
  <c r="K1113" i="5"/>
  <c r="G1113" i="5"/>
  <c r="K1112" i="5"/>
  <c r="G1112" i="5"/>
  <c r="K1111" i="5"/>
  <c r="G1111" i="5"/>
  <c r="K1110" i="5"/>
  <c r="G1110" i="5"/>
  <c r="K1109" i="5"/>
  <c r="G1109" i="5"/>
  <c r="K1108" i="5"/>
  <c r="G1108" i="5"/>
  <c r="K1107" i="5"/>
  <c r="G1107" i="5"/>
  <c r="K1106" i="5"/>
  <c r="G1106" i="5"/>
  <c r="K1105" i="5"/>
  <c r="G1105" i="5"/>
  <c r="K1104" i="5"/>
  <c r="G1104" i="5"/>
  <c r="K1103" i="5"/>
  <c r="G1103" i="5"/>
  <c r="K1102" i="5"/>
  <c r="G1102" i="5"/>
  <c r="K1101" i="5"/>
  <c r="G1101" i="5"/>
  <c r="K1100" i="5"/>
  <c r="G1100" i="5"/>
  <c r="K1099" i="5"/>
  <c r="G1099" i="5"/>
  <c r="K1098" i="5"/>
  <c r="G1098" i="5"/>
  <c r="K1097" i="5"/>
  <c r="G1097" i="5"/>
  <c r="K1096" i="5"/>
  <c r="G1096" i="5"/>
  <c r="K1095" i="5"/>
  <c r="G1095" i="5"/>
  <c r="K1094" i="5"/>
  <c r="G1094" i="5"/>
  <c r="K1093" i="5"/>
  <c r="G1093" i="5"/>
  <c r="K1092" i="5"/>
  <c r="G1092" i="5"/>
  <c r="K1091" i="5"/>
  <c r="G1091" i="5"/>
  <c r="K1090" i="5"/>
  <c r="G1090" i="5"/>
  <c r="K1089" i="5"/>
  <c r="G1089" i="5"/>
  <c r="K1088" i="5"/>
  <c r="G1088" i="5"/>
  <c r="K1087" i="5"/>
  <c r="G1087" i="5"/>
  <c r="K1086" i="5"/>
  <c r="G1086" i="5"/>
  <c r="K1085" i="5"/>
  <c r="G1085" i="5"/>
  <c r="K1084" i="5"/>
  <c r="G1084" i="5"/>
  <c r="K1083" i="5"/>
  <c r="G1083" i="5"/>
  <c r="K1082" i="5"/>
  <c r="G1082" i="5"/>
  <c r="K1081" i="5"/>
  <c r="G1081" i="5"/>
  <c r="K1080" i="5"/>
  <c r="G1080" i="5"/>
  <c r="K1079" i="5"/>
  <c r="G1079" i="5"/>
  <c r="K1078" i="5"/>
  <c r="G1078" i="5"/>
  <c r="K1077" i="5"/>
  <c r="G1077" i="5"/>
  <c r="K1076" i="5"/>
  <c r="G1076" i="5"/>
  <c r="K1075" i="5"/>
  <c r="G1075" i="5"/>
  <c r="K1074" i="5"/>
  <c r="G1074" i="5"/>
  <c r="K1073" i="5"/>
  <c r="G1073" i="5"/>
  <c r="K1072" i="5"/>
  <c r="G1072" i="5"/>
  <c r="K1071" i="5"/>
  <c r="G1071" i="5"/>
  <c r="K1070" i="5"/>
  <c r="G1070" i="5"/>
  <c r="K1069" i="5"/>
  <c r="G1069" i="5"/>
  <c r="K1068" i="5"/>
  <c r="G1068" i="5"/>
  <c r="K1067" i="5"/>
  <c r="G1067" i="5"/>
  <c r="K1066" i="5"/>
  <c r="G1066" i="5"/>
  <c r="K1065" i="5"/>
  <c r="G1065" i="5"/>
  <c r="K1064" i="5"/>
  <c r="G1064" i="5"/>
  <c r="K1063" i="5"/>
  <c r="G1063" i="5"/>
  <c r="K1062" i="5"/>
  <c r="G1062" i="5"/>
  <c r="K1061" i="5"/>
  <c r="G1061" i="5"/>
  <c r="K1060" i="5"/>
  <c r="G1060" i="5"/>
  <c r="K1059" i="5"/>
  <c r="G1059" i="5"/>
  <c r="K1058" i="5"/>
  <c r="G1058" i="5"/>
  <c r="K1057" i="5"/>
  <c r="G1057" i="5"/>
  <c r="K1056" i="5"/>
  <c r="G1056" i="5"/>
  <c r="K1055" i="5"/>
  <c r="G1055" i="5"/>
  <c r="K1054" i="5"/>
  <c r="G1054" i="5"/>
  <c r="K1053" i="5"/>
  <c r="G1053" i="5"/>
  <c r="K1052" i="5"/>
  <c r="G1052" i="5"/>
  <c r="K1051" i="5"/>
  <c r="G1051" i="5"/>
  <c r="K1050" i="5"/>
  <c r="G1050" i="5"/>
  <c r="K1049" i="5"/>
  <c r="G1049" i="5"/>
  <c r="K1048" i="5"/>
  <c r="G1048" i="5"/>
  <c r="K1047" i="5"/>
  <c r="G1047" i="5"/>
  <c r="K1046" i="5"/>
  <c r="G1046" i="5"/>
  <c r="K1045" i="5"/>
  <c r="G1045" i="5"/>
  <c r="K1044" i="5"/>
  <c r="G1044" i="5"/>
  <c r="K1043" i="5"/>
  <c r="G1043" i="5"/>
  <c r="K1042" i="5"/>
  <c r="G1042" i="5"/>
  <c r="K1041" i="5"/>
  <c r="G1041" i="5"/>
  <c r="K1040" i="5"/>
  <c r="G1040" i="5"/>
  <c r="K1039" i="5"/>
  <c r="G1039" i="5"/>
  <c r="K1038" i="5"/>
  <c r="G1038" i="5"/>
  <c r="K1037" i="5"/>
  <c r="G1037" i="5"/>
  <c r="K1036" i="5"/>
  <c r="G1036" i="5"/>
  <c r="K1035" i="5"/>
  <c r="G1035" i="5"/>
  <c r="K1034" i="5"/>
  <c r="G1034" i="5"/>
  <c r="K1033" i="5"/>
  <c r="G1033" i="5"/>
  <c r="K1032" i="5"/>
  <c r="G1032" i="5"/>
  <c r="K1031" i="5"/>
  <c r="G1031" i="5"/>
  <c r="K1030" i="5"/>
  <c r="G1030" i="5"/>
  <c r="K1029" i="5"/>
  <c r="G1029" i="5"/>
  <c r="K1028" i="5"/>
  <c r="G1028" i="5"/>
  <c r="K1027" i="5"/>
  <c r="G1027" i="5"/>
  <c r="K1026" i="5"/>
  <c r="G1026" i="5"/>
  <c r="K1025" i="5"/>
  <c r="G1025" i="5"/>
  <c r="K1024" i="5"/>
  <c r="G1024" i="5"/>
  <c r="K1023" i="5"/>
  <c r="G1023" i="5"/>
  <c r="K1022" i="5"/>
  <c r="G1022" i="5"/>
  <c r="K1021" i="5"/>
  <c r="G1021" i="5"/>
  <c r="K1020" i="5"/>
  <c r="G1020" i="5"/>
  <c r="K1019" i="5"/>
  <c r="G1019" i="5"/>
  <c r="K1018" i="5"/>
  <c r="G1018" i="5"/>
  <c r="K1017" i="5"/>
  <c r="G1017" i="5"/>
  <c r="K1016" i="5"/>
  <c r="G1016" i="5"/>
  <c r="K1015" i="5"/>
  <c r="G1015" i="5"/>
  <c r="K1014" i="5"/>
  <c r="G1014" i="5"/>
  <c r="K1013" i="5"/>
  <c r="G1013" i="5"/>
  <c r="K1012" i="5"/>
  <c r="G1012" i="5"/>
  <c r="K1011" i="5"/>
  <c r="G1011" i="5"/>
  <c r="K1010" i="5"/>
  <c r="G1010" i="5"/>
  <c r="K1009" i="5"/>
  <c r="G1009" i="5"/>
  <c r="K1008" i="5"/>
  <c r="G1008" i="5"/>
  <c r="K1007" i="5"/>
  <c r="G1007" i="5"/>
  <c r="K1006" i="5"/>
  <c r="G1006" i="5"/>
  <c r="K1005" i="5"/>
  <c r="G1005" i="5"/>
  <c r="K1004" i="5"/>
  <c r="G1004" i="5"/>
  <c r="K1003" i="5"/>
  <c r="G1003" i="5"/>
  <c r="K1002" i="5"/>
  <c r="G1002" i="5"/>
  <c r="K1001" i="5"/>
  <c r="G1001" i="5"/>
  <c r="K1000" i="5"/>
  <c r="G1000" i="5"/>
  <c r="K999" i="5"/>
  <c r="G999" i="5"/>
  <c r="K998" i="5"/>
  <c r="G998" i="5"/>
  <c r="K997" i="5"/>
  <c r="G997" i="5"/>
  <c r="K996" i="5"/>
  <c r="G996" i="5"/>
  <c r="K995" i="5"/>
  <c r="G995" i="5"/>
  <c r="K994" i="5"/>
  <c r="G994" i="5"/>
  <c r="K993" i="5"/>
  <c r="G993" i="5"/>
  <c r="K992" i="5"/>
  <c r="G992" i="5"/>
  <c r="K991" i="5"/>
  <c r="G991" i="5"/>
  <c r="K990" i="5"/>
  <c r="G990" i="5"/>
  <c r="K989" i="5"/>
  <c r="G989" i="5"/>
  <c r="K988" i="5"/>
  <c r="G988" i="5"/>
  <c r="K987" i="5"/>
  <c r="G987" i="5"/>
  <c r="K986" i="5"/>
  <c r="G986" i="5"/>
  <c r="K985" i="5"/>
  <c r="G985" i="5"/>
  <c r="K984" i="5"/>
  <c r="G984" i="5"/>
  <c r="K983" i="5"/>
  <c r="G983" i="5"/>
  <c r="K982" i="5"/>
  <c r="G982" i="5"/>
  <c r="K981" i="5"/>
  <c r="G981" i="5"/>
  <c r="K980" i="5"/>
  <c r="G980" i="5"/>
  <c r="K979" i="5"/>
  <c r="G979" i="5"/>
  <c r="K978" i="5"/>
  <c r="G978" i="5"/>
  <c r="K977" i="5"/>
  <c r="G977" i="5"/>
  <c r="K976" i="5"/>
  <c r="G976" i="5"/>
  <c r="K975" i="5"/>
  <c r="G975" i="5"/>
  <c r="K974" i="5"/>
  <c r="G974" i="5"/>
  <c r="K973" i="5"/>
  <c r="G973" i="5"/>
  <c r="K972" i="5"/>
  <c r="G972" i="5"/>
  <c r="K971" i="5"/>
  <c r="G971" i="5"/>
  <c r="K970" i="5"/>
  <c r="G970" i="5"/>
  <c r="K969" i="5"/>
  <c r="G969" i="5"/>
  <c r="K968" i="5"/>
  <c r="G968" i="5"/>
  <c r="K967" i="5"/>
  <c r="G967" i="5"/>
  <c r="K966" i="5"/>
  <c r="G966" i="5"/>
  <c r="K965" i="5"/>
  <c r="G965" i="5"/>
  <c r="K964" i="5"/>
  <c r="G964" i="5"/>
  <c r="K963" i="5"/>
  <c r="G963" i="5"/>
  <c r="K962" i="5"/>
  <c r="G962" i="5"/>
  <c r="K961" i="5"/>
  <c r="G961" i="5"/>
  <c r="K960" i="5"/>
  <c r="G960" i="5"/>
  <c r="K959" i="5"/>
  <c r="G959" i="5"/>
  <c r="K958" i="5"/>
  <c r="G958" i="5"/>
  <c r="K957" i="5"/>
  <c r="G957" i="5"/>
  <c r="K956" i="5"/>
  <c r="G956" i="5"/>
  <c r="K955" i="5"/>
  <c r="G955" i="5"/>
  <c r="K954" i="5"/>
  <c r="G954" i="5"/>
  <c r="K953" i="5"/>
  <c r="G953" i="5"/>
  <c r="K952" i="5"/>
  <c r="G952" i="5"/>
  <c r="K951" i="5"/>
  <c r="G951" i="5"/>
  <c r="K950" i="5"/>
  <c r="G950" i="5"/>
  <c r="K949" i="5"/>
  <c r="G949" i="5"/>
  <c r="K948" i="5"/>
  <c r="G948" i="5"/>
  <c r="K947" i="5"/>
  <c r="G947" i="5"/>
  <c r="K946" i="5"/>
  <c r="G946" i="5"/>
  <c r="K945" i="5"/>
  <c r="G945" i="5"/>
  <c r="K944" i="5"/>
  <c r="G944" i="5"/>
  <c r="K943" i="5"/>
  <c r="G943" i="5"/>
  <c r="K942" i="5"/>
  <c r="G942" i="5"/>
  <c r="K941" i="5"/>
  <c r="G941" i="5"/>
  <c r="K940" i="5"/>
  <c r="G940" i="5"/>
  <c r="K939" i="5"/>
  <c r="G939" i="5"/>
  <c r="K938" i="5"/>
  <c r="G938" i="5"/>
  <c r="K937" i="5"/>
  <c r="G937" i="5"/>
  <c r="K936" i="5"/>
  <c r="G936" i="5"/>
  <c r="K935" i="5"/>
  <c r="G935" i="5"/>
  <c r="K934" i="5"/>
  <c r="G934" i="5"/>
  <c r="K933" i="5"/>
  <c r="G933" i="5"/>
  <c r="K932" i="5"/>
  <c r="G932" i="5"/>
  <c r="K931" i="5"/>
  <c r="G931" i="5"/>
  <c r="K930" i="5"/>
  <c r="G930" i="5"/>
  <c r="K929" i="5"/>
  <c r="G929" i="5"/>
  <c r="K928" i="5"/>
  <c r="G928" i="5"/>
  <c r="K927" i="5"/>
  <c r="G927" i="5"/>
  <c r="K926" i="5"/>
  <c r="G926" i="5"/>
  <c r="K925" i="5"/>
  <c r="G925" i="5"/>
  <c r="K924" i="5"/>
  <c r="G924" i="5"/>
  <c r="K923" i="5"/>
  <c r="G923" i="5"/>
  <c r="K922" i="5"/>
  <c r="G922" i="5"/>
  <c r="K921" i="5"/>
  <c r="G921" i="5"/>
  <c r="K920" i="5"/>
  <c r="G920" i="5"/>
  <c r="K919" i="5"/>
  <c r="G919" i="5"/>
  <c r="K918" i="5"/>
  <c r="G918" i="5"/>
  <c r="K917" i="5"/>
  <c r="G917" i="5"/>
  <c r="K916" i="5"/>
  <c r="G916" i="5"/>
  <c r="K915" i="5"/>
  <c r="G915" i="5"/>
  <c r="K914" i="5"/>
  <c r="G914" i="5"/>
  <c r="K913" i="5"/>
  <c r="G913" i="5"/>
  <c r="K912" i="5"/>
  <c r="G912" i="5"/>
  <c r="K911" i="5"/>
  <c r="G911" i="5"/>
  <c r="K910" i="5"/>
  <c r="G910" i="5"/>
  <c r="K909" i="5"/>
  <c r="G909" i="5"/>
  <c r="K908" i="5"/>
  <c r="G908" i="5"/>
  <c r="K907" i="5"/>
  <c r="G907" i="5"/>
  <c r="K906" i="5"/>
  <c r="G906" i="5"/>
  <c r="K905" i="5"/>
  <c r="G905" i="5"/>
  <c r="K904" i="5"/>
  <c r="G904" i="5"/>
  <c r="K903" i="5"/>
  <c r="G903" i="5"/>
  <c r="K902" i="5"/>
  <c r="G902" i="5"/>
  <c r="K901" i="5"/>
  <c r="G901" i="5"/>
  <c r="K900" i="5"/>
  <c r="G900" i="5"/>
  <c r="K899" i="5"/>
  <c r="G899" i="5"/>
  <c r="K898" i="5"/>
  <c r="G898" i="5"/>
  <c r="K897" i="5"/>
  <c r="G897" i="5"/>
  <c r="K896" i="5"/>
  <c r="G896" i="5"/>
  <c r="K895" i="5"/>
  <c r="G895" i="5"/>
  <c r="K894" i="5"/>
  <c r="G894" i="5"/>
  <c r="K893" i="5"/>
  <c r="G893" i="5"/>
  <c r="K892" i="5"/>
  <c r="G892" i="5"/>
  <c r="K891" i="5"/>
  <c r="G891" i="5"/>
  <c r="K890" i="5"/>
  <c r="G890" i="5"/>
  <c r="K889" i="5"/>
  <c r="G889" i="5"/>
  <c r="K888" i="5"/>
  <c r="G888" i="5"/>
  <c r="K887" i="5"/>
  <c r="G887" i="5"/>
  <c r="K886" i="5"/>
  <c r="G886" i="5"/>
  <c r="K885" i="5"/>
  <c r="G885" i="5"/>
  <c r="K884" i="5"/>
  <c r="G884" i="5"/>
  <c r="K883" i="5"/>
  <c r="G883" i="5"/>
  <c r="K882" i="5"/>
  <c r="G882" i="5"/>
  <c r="K881" i="5"/>
  <c r="G881" i="5"/>
  <c r="K880" i="5"/>
  <c r="G880" i="5"/>
  <c r="K879" i="5"/>
  <c r="G879" i="5"/>
  <c r="K878" i="5"/>
  <c r="G878" i="5"/>
  <c r="K877" i="5"/>
  <c r="G877" i="5"/>
  <c r="K876" i="5"/>
  <c r="G876" i="5"/>
  <c r="K875" i="5"/>
  <c r="G875" i="5"/>
  <c r="K874" i="5"/>
  <c r="G874" i="5"/>
  <c r="K873" i="5"/>
  <c r="G873" i="5"/>
  <c r="K872" i="5"/>
  <c r="G872" i="5"/>
  <c r="K871" i="5"/>
  <c r="G871" i="5"/>
  <c r="K870" i="5"/>
  <c r="G870" i="5"/>
  <c r="K869" i="5"/>
  <c r="G869" i="5"/>
  <c r="K868" i="5"/>
  <c r="G868" i="5"/>
  <c r="K867" i="5"/>
  <c r="G867" i="5"/>
  <c r="K866" i="5"/>
  <c r="G866" i="5"/>
  <c r="K865" i="5"/>
  <c r="G865" i="5"/>
  <c r="K864" i="5"/>
  <c r="G864" i="5"/>
  <c r="K863" i="5"/>
  <c r="G863" i="5"/>
  <c r="K862" i="5"/>
  <c r="G862" i="5"/>
  <c r="K861" i="5"/>
  <c r="G861" i="5"/>
  <c r="K860" i="5"/>
  <c r="G860" i="5"/>
  <c r="K859" i="5"/>
  <c r="G859" i="5"/>
  <c r="K858" i="5"/>
  <c r="G858" i="5"/>
  <c r="K857" i="5"/>
  <c r="G857" i="5"/>
  <c r="K856" i="5"/>
  <c r="G856" i="5"/>
  <c r="K855" i="5"/>
  <c r="G855" i="5"/>
  <c r="K854" i="5"/>
  <c r="G854" i="5"/>
  <c r="K853" i="5"/>
  <c r="G853" i="5"/>
  <c r="K852" i="5"/>
  <c r="G852" i="5"/>
  <c r="K851" i="5"/>
  <c r="G851" i="5"/>
  <c r="K850" i="5"/>
  <c r="G850" i="5"/>
  <c r="K849" i="5"/>
  <c r="G849" i="5"/>
  <c r="K848" i="5"/>
  <c r="G848" i="5"/>
  <c r="K847" i="5"/>
  <c r="G847" i="5"/>
  <c r="K846" i="5"/>
  <c r="G846" i="5"/>
  <c r="K845" i="5"/>
  <c r="G845" i="5"/>
  <c r="K844" i="5"/>
  <c r="G844" i="5"/>
  <c r="K843" i="5"/>
  <c r="G843" i="5"/>
  <c r="K842" i="5"/>
  <c r="G842" i="5"/>
  <c r="K841" i="5"/>
  <c r="G841" i="5"/>
  <c r="K840" i="5"/>
  <c r="G840" i="5"/>
  <c r="K839" i="5"/>
  <c r="G839" i="5"/>
  <c r="K838" i="5"/>
  <c r="G838" i="5"/>
  <c r="K837" i="5"/>
  <c r="G837" i="5"/>
  <c r="K836" i="5"/>
  <c r="G836" i="5"/>
  <c r="K835" i="5"/>
  <c r="G835" i="5"/>
  <c r="K834" i="5"/>
  <c r="G834" i="5"/>
  <c r="K833" i="5"/>
  <c r="G833" i="5"/>
  <c r="K832" i="5"/>
  <c r="G832" i="5"/>
  <c r="K831" i="5"/>
  <c r="G831" i="5"/>
  <c r="K830" i="5"/>
  <c r="G830" i="5"/>
  <c r="K829" i="5"/>
  <c r="G829" i="5"/>
  <c r="K828" i="5"/>
  <c r="G828" i="5"/>
  <c r="K827" i="5"/>
  <c r="G827" i="5"/>
  <c r="K826" i="5"/>
  <c r="G826" i="5"/>
  <c r="K825" i="5"/>
  <c r="G825" i="5"/>
  <c r="K824" i="5"/>
  <c r="G824" i="5"/>
  <c r="K823" i="5"/>
  <c r="G823" i="5"/>
  <c r="K822" i="5"/>
  <c r="G822" i="5"/>
  <c r="K821" i="5"/>
  <c r="G821" i="5"/>
  <c r="K820" i="5"/>
  <c r="G820" i="5"/>
  <c r="K819" i="5"/>
  <c r="G819" i="5"/>
  <c r="K818" i="5"/>
  <c r="G818" i="5"/>
  <c r="K817" i="5"/>
  <c r="G817" i="5"/>
  <c r="K816" i="5"/>
  <c r="G816" i="5"/>
  <c r="K815" i="5"/>
  <c r="G815" i="5"/>
  <c r="K814" i="5"/>
  <c r="G814" i="5"/>
  <c r="K813" i="5"/>
  <c r="G813" i="5"/>
  <c r="K812" i="5"/>
  <c r="G812" i="5"/>
  <c r="K811" i="5"/>
  <c r="G811" i="5"/>
  <c r="K810" i="5"/>
  <c r="G810" i="5"/>
  <c r="K809" i="5"/>
  <c r="G809" i="5"/>
  <c r="K808" i="5"/>
  <c r="G808" i="5"/>
  <c r="K807" i="5"/>
  <c r="G807" i="5"/>
  <c r="K806" i="5"/>
  <c r="G806" i="5"/>
  <c r="K805" i="5"/>
  <c r="G805" i="5"/>
  <c r="K804" i="5"/>
  <c r="G804" i="5"/>
  <c r="K803" i="5"/>
  <c r="G803" i="5"/>
  <c r="K802" i="5"/>
  <c r="G802" i="5"/>
  <c r="K801" i="5"/>
  <c r="G801" i="5"/>
  <c r="K800" i="5"/>
  <c r="G800" i="5"/>
  <c r="K799" i="5"/>
  <c r="G799" i="5"/>
  <c r="K798" i="5"/>
  <c r="G798" i="5"/>
  <c r="K797" i="5"/>
  <c r="G797" i="5"/>
  <c r="K796" i="5"/>
  <c r="G796" i="5"/>
  <c r="K795" i="5"/>
  <c r="G795" i="5"/>
  <c r="K794" i="5"/>
  <c r="G794" i="5"/>
  <c r="K793" i="5"/>
  <c r="G793" i="5"/>
  <c r="K792" i="5"/>
  <c r="G792" i="5"/>
  <c r="K791" i="5"/>
  <c r="G791" i="5"/>
  <c r="K790" i="5"/>
  <c r="G790" i="5"/>
  <c r="K789" i="5"/>
  <c r="G789" i="5"/>
  <c r="K788" i="5"/>
  <c r="G788" i="5"/>
  <c r="K787" i="5"/>
  <c r="G787" i="5"/>
  <c r="K786" i="5"/>
  <c r="G786" i="5"/>
  <c r="K785" i="5"/>
  <c r="G785" i="5"/>
  <c r="K784" i="5"/>
  <c r="G784" i="5"/>
  <c r="K783" i="5"/>
  <c r="G783" i="5"/>
  <c r="K782" i="5"/>
  <c r="G782" i="5"/>
  <c r="K781" i="5"/>
  <c r="G781" i="5"/>
  <c r="K780" i="5"/>
  <c r="G780" i="5"/>
  <c r="K779" i="5"/>
  <c r="G779" i="5"/>
  <c r="K778" i="5"/>
  <c r="G778" i="5"/>
  <c r="K777" i="5"/>
  <c r="G777" i="5"/>
  <c r="K776" i="5"/>
  <c r="G776" i="5"/>
  <c r="K775" i="5"/>
  <c r="G775" i="5"/>
  <c r="K774" i="5"/>
  <c r="G774" i="5"/>
  <c r="K773" i="5"/>
  <c r="G773" i="5"/>
  <c r="K772" i="5"/>
  <c r="G772" i="5"/>
  <c r="K771" i="5"/>
  <c r="G771" i="5"/>
  <c r="K770" i="5"/>
  <c r="G770" i="5"/>
  <c r="K769" i="5"/>
  <c r="G769" i="5"/>
  <c r="K768" i="5"/>
  <c r="G768" i="5"/>
  <c r="K767" i="5"/>
  <c r="G767" i="5"/>
  <c r="K766" i="5"/>
  <c r="G766" i="5"/>
  <c r="K765" i="5"/>
  <c r="G765" i="5"/>
  <c r="K764" i="5"/>
  <c r="G764" i="5"/>
  <c r="K763" i="5"/>
  <c r="G763" i="5"/>
  <c r="K762" i="5"/>
  <c r="G762" i="5"/>
  <c r="K761" i="5"/>
  <c r="G761" i="5"/>
  <c r="K760" i="5"/>
  <c r="G760" i="5"/>
  <c r="K759" i="5"/>
  <c r="G759" i="5"/>
  <c r="K758" i="5"/>
  <c r="G758" i="5"/>
  <c r="K757" i="5"/>
  <c r="G757" i="5"/>
  <c r="K756" i="5"/>
  <c r="G756" i="5"/>
  <c r="K755" i="5"/>
  <c r="G755" i="5"/>
  <c r="K754" i="5"/>
  <c r="G754" i="5"/>
  <c r="K753" i="5"/>
  <c r="G753" i="5"/>
  <c r="K752" i="5"/>
  <c r="G752" i="5"/>
  <c r="K751" i="5"/>
  <c r="G751" i="5"/>
  <c r="K750" i="5"/>
  <c r="G750" i="5"/>
  <c r="K749" i="5"/>
  <c r="G749" i="5"/>
  <c r="K748" i="5"/>
  <c r="G748" i="5"/>
  <c r="K747" i="5"/>
  <c r="G747" i="5"/>
  <c r="K746" i="5"/>
  <c r="G746" i="5"/>
  <c r="K745" i="5"/>
  <c r="G745" i="5"/>
  <c r="K744" i="5"/>
  <c r="G744" i="5"/>
  <c r="K743" i="5"/>
  <c r="G743" i="5"/>
  <c r="K742" i="5"/>
  <c r="G742" i="5"/>
  <c r="K741" i="5"/>
  <c r="G741" i="5"/>
  <c r="K740" i="5"/>
  <c r="G740" i="5"/>
  <c r="K739" i="5"/>
  <c r="G739" i="5"/>
  <c r="K738" i="5"/>
  <c r="G738" i="5"/>
  <c r="K737" i="5"/>
  <c r="G737" i="5"/>
  <c r="K736" i="5"/>
  <c r="G736" i="5"/>
  <c r="K735" i="5"/>
  <c r="G735" i="5"/>
  <c r="K734" i="5"/>
  <c r="G734" i="5"/>
  <c r="K733" i="5"/>
  <c r="G733" i="5"/>
  <c r="K732" i="5"/>
  <c r="G732" i="5"/>
  <c r="K731" i="5"/>
  <c r="G731" i="5"/>
  <c r="K730" i="5"/>
  <c r="G730" i="5"/>
  <c r="K729" i="5"/>
  <c r="G729" i="5"/>
  <c r="K728" i="5"/>
  <c r="G728" i="5"/>
  <c r="K727" i="5"/>
  <c r="G727" i="5"/>
  <c r="K726" i="5"/>
  <c r="G726" i="5"/>
  <c r="K725" i="5"/>
  <c r="G725" i="5"/>
  <c r="K724" i="5"/>
  <c r="G724" i="5"/>
  <c r="K723" i="5"/>
  <c r="G723" i="5"/>
  <c r="K722" i="5"/>
  <c r="G722" i="5"/>
  <c r="K721" i="5"/>
  <c r="G721" i="5"/>
  <c r="K720" i="5"/>
  <c r="G720" i="5"/>
  <c r="K719" i="5"/>
  <c r="G719" i="5"/>
  <c r="K718" i="5"/>
  <c r="G718" i="5"/>
  <c r="K717" i="5"/>
  <c r="G717" i="5"/>
  <c r="K716" i="5"/>
  <c r="G716" i="5"/>
  <c r="K715" i="5"/>
  <c r="G715" i="5"/>
  <c r="K714" i="5"/>
  <c r="G714" i="5"/>
  <c r="K713" i="5"/>
  <c r="G713" i="5"/>
  <c r="K712" i="5"/>
  <c r="G712" i="5"/>
  <c r="K711" i="5"/>
  <c r="G711" i="5"/>
  <c r="K710" i="5"/>
  <c r="G710" i="5"/>
  <c r="K709" i="5"/>
  <c r="G709" i="5"/>
  <c r="K708" i="5"/>
  <c r="G708" i="5"/>
  <c r="K707" i="5"/>
  <c r="G707" i="5"/>
  <c r="K706" i="5"/>
  <c r="G706" i="5"/>
  <c r="K705" i="5"/>
  <c r="G705" i="5"/>
  <c r="K704" i="5"/>
  <c r="G704" i="5"/>
  <c r="K703" i="5"/>
  <c r="G703" i="5"/>
  <c r="K702" i="5"/>
  <c r="G702" i="5"/>
  <c r="K701" i="5"/>
  <c r="G701" i="5"/>
  <c r="K700" i="5"/>
  <c r="G700" i="5"/>
  <c r="K699" i="5"/>
  <c r="G699" i="5"/>
  <c r="K698" i="5"/>
  <c r="G698" i="5"/>
  <c r="K697" i="5"/>
  <c r="G697" i="5"/>
  <c r="K696" i="5"/>
  <c r="G696" i="5"/>
  <c r="K695" i="5"/>
  <c r="G695" i="5"/>
  <c r="K694" i="5"/>
  <c r="G694" i="5"/>
  <c r="K693" i="5"/>
  <c r="G693" i="5"/>
  <c r="K692" i="5"/>
  <c r="G692" i="5"/>
  <c r="K691" i="5"/>
  <c r="G691" i="5"/>
  <c r="K690" i="5"/>
  <c r="G690" i="5"/>
  <c r="K689" i="5"/>
  <c r="G689" i="5"/>
  <c r="K688" i="5"/>
  <c r="G688" i="5"/>
  <c r="K687" i="5"/>
  <c r="G687" i="5"/>
  <c r="K686" i="5"/>
  <c r="G686" i="5"/>
  <c r="K685" i="5"/>
  <c r="G685" i="5"/>
  <c r="K684" i="5"/>
  <c r="G684" i="5"/>
  <c r="K683" i="5"/>
  <c r="G683" i="5"/>
  <c r="K682" i="5"/>
  <c r="G682" i="5"/>
  <c r="K681" i="5"/>
  <c r="G681" i="5"/>
  <c r="K680" i="5"/>
  <c r="G680" i="5"/>
  <c r="K679" i="5"/>
  <c r="G679" i="5"/>
  <c r="K678" i="5"/>
  <c r="G678" i="5"/>
  <c r="K677" i="5"/>
  <c r="G677" i="5"/>
  <c r="K676" i="5"/>
  <c r="G676" i="5"/>
  <c r="K675" i="5"/>
  <c r="G675" i="5"/>
  <c r="K674" i="5"/>
  <c r="G674" i="5"/>
  <c r="K673" i="5"/>
  <c r="G673" i="5"/>
  <c r="K672" i="5"/>
  <c r="G672" i="5"/>
  <c r="K671" i="5"/>
  <c r="G671" i="5"/>
  <c r="K670" i="5"/>
  <c r="G670" i="5"/>
  <c r="K669" i="5"/>
  <c r="G669" i="5"/>
  <c r="K668" i="5"/>
  <c r="G668" i="5"/>
  <c r="K667" i="5"/>
  <c r="G667" i="5"/>
  <c r="K666" i="5"/>
  <c r="G666" i="5"/>
  <c r="K665" i="5"/>
  <c r="G665" i="5"/>
  <c r="K664" i="5"/>
  <c r="G664" i="5"/>
  <c r="K663" i="5"/>
  <c r="G663" i="5"/>
  <c r="K662" i="5"/>
  <c r="G662" i="5"/>
  <c r="K661" i="5"/>
  <c r="G661" i="5"/>
  <c r="K660" i="5"/>
  <c r="G660" i="5"/>
  <c r="K659" i="5"/>
  <c r="G659" i="5"/>
  <c r="K658" i="5"/>
  <c r="G658" i="5"/>
  <c r="K657" i="5"/>
  <c r="G657" i="5"/>
  <c r="K656" i="5"/>
  <c r="G656" i="5"/>
  <c r="K655" i="5"/>
  <c r="G655" i="5"/>
  <c r="K654" i="5"/>
  <c r="G654" i="5"/>
  <c r="K653" i="5"/>
  <c r="G653" i="5"/>
  <c r="K652" i="5"/>
  <c r="G652" i="5"/>
  <c r="K651" i="5"/>
  <c r="G651" i="5"/>
  <c r="K650" i="5"/>
  <c r="G650" i="5"/>
  <c r="K649" i="5"/>
  <c r="G649" i="5"/>
  <c r="K648" i="5"/>
  <c r="G648" i="5"/>
  <c r="K647" i="5"/>
  <c r="G647" i="5"/>
  <c r="K646" i="5"/>
  <c r="G646" i="5"/>
  <c r="K645" i="5"/>
  <c r="G645" i="5"/>
  <c r="K644" i="5"/>
  <c r="G644" i="5"/>
  <c r="K643" i="5"/>
  <c r="G643" i="5"/>
  <c r="K642" i="5"/>
  <c r="G642" i="5"/>
  <c r="K641" i="5"/>
  <c r="G641" i="5"/>
  <c r="K640" i="5"/>
  <c r="G640" i="5"/>
  <c r="K639" i="5"/>
  <c r="G639" i="5"/>
  <c r="K638" i="5"/>
  <c r="G638" i="5"/>
  <c r="K637" i="5"/>
  <c r="G637" i="5"/>
  <c r="K636" i="5"/>
  <c r="G636" i="5"/>
  <c r="K635" i="5"/>
  <c r="G635" i="5"/>
  <c r="K634" i="5"/>
  <c r="G634" i="5"/>
  <c r="K633" i="5"/>
  <c r="G633" i="5"/>
  <c r="K632" i="5"/>
  <c r="G632" i="5"/>
  <c r="K631" i="5"/>
  <c r="G631" i="5"/>
  <c r="K630" i="5"/>
  <c r="G630" i="5"/>
  <c r="K629" i="5"/>
  <c r="G629" i="5"/>
  <c r="K628" i="5"/>
  <c r="G628" i="5"/>
  <c r="K627" i="5"/>
  <c r="G627" i="5"/>
  <c r="K626" i="5"/>
  <c r="G626" i="5"/>
  <c r="K625" i="5"/>
  <c r="G625" i="5"/>
  <c r="K624" i="5"/>
  <c r="G624" i="5"/>
  <c r="K623" i="5"/>
  <c r="G623" i="5"/>
  <c r="K622" i="5"/>
  <c r="G622" i="5"/>
  <c r="K621" i="5"/>
  <c r="G621" i="5"/>
  <c r="K620" i="5"/>
  <c r="G620" i="5"/>
  <c r="K619" i="5"/>
  <c r="G619" i="5"/>
  <c r="K618" i="5"/>
  <c r="G618" i="5"/>
  <c r="K617" i="5"/>
  <c r="G617" i="5"/>
  <c r="K616" i="5"/>
  <c r="G616" i="5"/>
  <c r="K615" i="5"/>
  <c r="G615" i="5"/>
  <c r="K614" i="5"/>
  <c r="G614" i="5"/>
  <c r="K613" i="5"/>
  <c r="G613" i="5"/>
  <c r="K612" i="5"/>
  <c r="G612" i="5"/>
  <c r="K611" i="5"/>
  <c r="G611" i="5"/>
  <c r="K610" i="5"/>
  <c r="G610" i="5"/>
  <c r="K609" i="5"/>
  <c r="G609" i="5"/>
  <c r="K608" i="5"/>
  <c r="G608" i="5"/>
  <c r="K607" i="5"/>
  <c r="G607" i="5"/>
  <c r="K606" i="5"/>
  <c r="G606" i="5"/>
  <c r="K605" i="5"/>
  <c r="G605" i="5"/>
  <c r="K604" i="5"/>
  <c r="G604" i="5"/>
  <c r="K603" i="5"/>
  <c r="G603" i="5"/>
  <c r="K602" i="5"/>
  <c r="G602" i="5"/>
  <c r="K601" i="5"/>
  <c r="G601" i="5"/>
  <c r="K600" i="5"/>
  <c r="G600" i="5"/>
  <c r="K599" i="5"/>
  <c r="G599" i="5"/>
  <c r="K598" i="5"/>
  <c r="G598" i="5"/>
  <c r="K597" i="5"/>
  <c r="G597" i="5"/>
  <c r="K596" i="5"/>
  <c r="G596" i="5"/>
  <c r="K595" i="5"/>
  <c r="G595" i="5"/>
  <c r="K594" i="5"/>
  <c r="G594" i="5"/>
  <c r="K593" i="5"/>
  <c r="G593" i="5"/>
  <c r="K592" i="5"/>
  <c r="G592" i="5"/>
  <c r="K591" i="5"/>
  <c r="G591" i="5"/>
  <c r="K590" i="5"/>
  <c r="G590" i="5"/>
  <c r="K589" i="5"/>
  <c r="G589" i="5"/>
  <c r="K588" i="5"/>
  <c r="G588" i="5"/>
  <c r="K587" i="5"/>
  <c r="G587" i="5"/>
  <c r="K586" i="5"/>
  <c r="G586" i="5"/>
  <c r="K585" i="5"/>
  <c r="G585" i="5"/>
  <c r="K584" i="5"/>
  <c r="G584" i="5"/>
  <c r="K583" i="5"/>
  <c r="G583" i="5"/>
  <c r="K582" i="5"/>
  <c r="G582" i="5"/>
  <c r="K581" i="5"/>
  <c r="G581" i="5"/>
  <c r="K580" i="5"/>
  <c r="G580" i="5"/>
  <c r="K579" i="5"/>
  <c r="G579" i="5"/>
  <c r="K578" i="5"/>
  <c r="G578" i="5"/>
  <c r="K577" i="5"/>
  <c r="G577" i="5"/>
  <c r="K576" i="5"/>
  <c r="G576" i="5"/>
  <c r="K575" i="5"/>
  <c r="G575" i="5"/>
  <c r="K574" i="5"/>
  <c r="G574" i="5"/>
  <c r="K573" i="5"/>
  <c r="G573" i="5"/>
  <c r="K572" i="5"/>
  <c r="G572" i="5"/>
  <c r="K571" i="5"/>
  <c r="G571" i="5"/>
  <c r="K570" i="5"/>
  <c r="G570" i="5"/>
  <c r="K569" i="5"/>
  <c r="G569" i="5"/>
  <c r="K568" i="5"/>
  <c r="G568" i="5"/>
  <c r="K567" i="5"/>
  <c r="G567" i="5"/>
  <c r="K566" i="5"/>
  <c r="G566" i="5"/>
  <c r="K565" i="5"/>
  <c r="G565" i="5"/>
  <c r="K564" i="5"/>
  <c r="G564" i="5"/>
  <c r="K563" i="5"/>
  <c r="G563" i="5"/>
  <c r="K562" i="5"/>
  <c r="G562" i="5"/>
  <c r="K561" i="5"/>
  <c r="G561" i="5"/>
  <c r="K560" i="5"/>
  <c r="G560" i="5"/>
  <c r="K559" i="5"/>
  <c r="G559" i="5"/>
  <c r="K558" i="5"/>
  <c r="G558" i="5"/>
  <c r="K557" i="5"/>
  <c r="G557" i="5"/>
  <c r="K556" i="5"/>
  <c r="G556" i="5"/>
  <c r="K555" i="5"/>
  <c r="G555" i="5"/>
  <c r="K554" i="5"/>
  <c r="G554" i="5"/>
  <c r="K553" i="5"/>
  <c r="G553" i="5"/>
  <c r="K552" i="5"/>
  <c r="G552" i="5"/>
  <c r="K551" i="5"/>
  <c r="G551" i="5"/>
  <c r="K550" i="5"/>
  <c r="G550" i="5"/>
  <c r="K549" i="5"/>
  <c r="G549" i="5"/>
  <c r="K548" i="5"/>
  <c r="G548" i="5"/>
  <c r="K547" i="5"/>
  <c r="G547" i="5"/>
  <c r="K546" i="5"/>
  <c r="G546" i="5"/>
  <c r="K545" i="5"/>
  <c r="G545" i="5"/>
  <c r="K544" i="5"/>
  <c r="G544" i="5"/>
  <c r="K543" i="5"/>
  <c r="G543" i="5"/>
  <c r="K542" i="5"/>
  <c r="G542" i="5"/>
  <c r="K541" i="5"/>
  <c r="G541" i="5"/>
  <c r="K540" i="5"/>
  <c r="G540" i="5"/>
  <c r="K539" i="5"/>
  <c r="G539" i="5"/>
  <c r="K538" i="5"/>
  <c r="G538" i="5"/>
  <c r="K537" i="5"/>
  <c r="G537" i="5"/>
  <c r="K536" i="5"/>
  <c r="G536" i="5"/>
  <c r="K535" i="5"/>
  <c r="G535" i="5"/>
  <c r="K534" i="5"/>
  <c r="G534" i="5"/>
  <c r="K533" i="5"/>
  <c r="G533" i="5"/>
  <c r="K532" i="5"/>
  <c r="G532" i="5"/>
  <c r="K531" i="5"/>
  <c r="G531" i="5"/>
  <c r="K530" i="5"/>
  <c r="G530" i="5"/>
  <c r="K529" i="5"/>
  <c r="G529" i="5"/>
  <c r="K528" i="5"/>
  <c r="G528" i="5"/>
  <c r="K527" i="5"/>
  <c r="G527" i="5"/>
  <c r="K526" i="5"/>
  <c r="G526" i="5"/>
  <c r="K525" i="5"/>
  <c r="G525" i="5"/>
  <c r="K524" i="5"/>
  <c r="G524" i="5"/>
  <c r="K523" i="5"/>
  <c r="G523" i="5"/>
  <c r="K522" i="5"/>
  <c r="G522" i="5"/>
  <c r="K521" i="5"/>
  <c r="G521" i="5"/>
  <c r="K520" i="5"/>
  <c r="G520" i="5"/>
  <c r="K519" i="5"/>
  <c r="G519" i="5"/>
  <c r="K518" i="5"/>
  <c r="G518" i="5"/>
  <c r="K517" i="5"/>
  <c r="G517" i="5"/>
  <c r="K516" i="5"/>
  <c r="G516" i="5"/>
  <c r="K515" i="5"/>
  <c r="G515" i="5"/>
  <c r="K514" i="5"/>
  <c r="G514" i="5"/>
  <c r="K513" i="5"/>
  <c r="G513" i="5"/>
  <c r="K512" i="5"/>
  <c r="G512" i="5"/>
  <c r="K511" i="5"/>
  <c r="G511" i="5"/>
  <c r="K510" i="5"/>
  <c r="G510" i="5"/>
  <c r="K509" i="5"/>
  <c r="G509" i="5"/>
  <c r="K508" i="5"/>
  <c r="G508" i="5"/>
  <c r="K507" i="5"/>
  <c r="G507" i="5"/>
  <c r="K506" i="5"/>
  <c r="G506" i="5"/>
  <c r="K505" i="5"/>
  <c r="G505" i="5"/>
  <c r="K504" i="5"/>
  <c r="G504" i="5"/>
  <c r="K503" i="5"/>
  <c r="G503" i="5"/>
  <c r="K502" i="5"/>
  <c r="G502" i="5"/>
  <c r="K501" i="5"/>
  <c r="G501" i="5"/>
  <c r="K500" i="5"/>
  <c r="G500" i="5"/>
  <c r="K499" i="5"/>
  <c r="G499" i="5"/>
  <c r="K498" i="5"/>
  <c r="G498" i="5"/>
  <c r="K497" i="5"/>
  <c r="G497" i="5"/>
  <c r="K496" i="5"/>
  <c r="G496" i="5"/>
  <c r="K495" i="5"/>
  <c r="G495" i="5"/>
  <c r="K494" i="5"/>
  <c r="G494" i="5"/>
  <c r="K493" i="5"/>
  <c r="G493" i="5"/>
  <c r="K492" i="5"/>
  <c r="G492" i="5"/>
  <c r="K491" i="5"/>
  <c r="G491" i="5"/>
  <c r="K490" i="5"/>
  <c r="G490" i="5"/>
  <c r="K489" i="5"/>
  <c r="G489" i="5"/>
  <c r="K488" i="5"/>
  <c r="G488" i="5"/>
  <c r="K487" i="5"/>
  <c r="G487" i="5"/>
  <c r="K486" i="5"/>
  <c r="G486" i="5"/>
  <c r="K485" i="5"/>
  <c r="G485" i="5"/>
  <c r="K484" i="5"/>
  <c r="G484" i="5"/>
  <c r="K483" i="5"/>
  <c r="G483" i="5"/>
  <c r="K482" i="5"/>
  <c r="G482" i="5"/>
  <c r="K481" i="5"/>
  <c r="G481" i="5"/>
  <c r="K480" i="5"/>
  <c r="G480" i="5"/>
  <c r="K479" i="5"/>
  <c r="G479" i="5"/>
  <c r="K478" i="5"/>
  <c r="G478" i="5"/>
  <c r="K477" i="5"/>
  <c r="G477" i="5"/>
  <c r="K476" i="5"/>
  <c r="G476" i="5"/>
  <c r="K475" i="5"/>
  <c r="G475" i="5"/>
  <c r="K474" i="5"/>
  <c r="G474" i="5"/>
  <c r="K473" i="5"/>
  <c r="G473" i="5"/>
  <c r="K472" i="5"/>
  <c r="G472" i="5"/>
  <c r="K471" i="5"/>
  <c r="G471" i="5"/>
  <c r="K470" i="5"/>
  <c r="G470" i="5"/>
  <c r="K469" i="5"/>
  <c r="G469" i="5"/>
  <c r="K468" i="5"/>
  <c r="G468" i="5"/>
  <c r="K467" i="5"/>
  <c r="G467" i="5"/>
  <c r="K466" i="5"/>
  <c r="G466" i="5"/>
  <c r="K465" i="5"/>
  <c r="G465" i="5"/>
  <c r="K464" i="5"/>
  <c r="G464" i="5"/>
  <c r="K463" i="5"/>
  <c r="G463" i="5"/>
  <c r="K462" i="5"/>
  <c r="G462" i="5"/>
  <c r="K461" i="5"/>
  <c r="G461" i="5"/>
  <c r="K460" i="5"/>
  <c r="G460" i="5"/>
  <c r="K459" i="5"/>
  <c r="G459" i="5"/>
  <c r="K458" i="5"/>
  <c r="G458" i="5"/>
  <c r="K457" i="5"/>
  <c r="G457" i="5"/>
  <c r="K456" i="5"/>
  <c r="G456" i="5"/>
  <c r="K455" i="5"/>
  <c r="G455" i="5"/>
  <c r="K454" i="5"/>
  <c r="G454" i="5"/>
  <c r="K453" i="5"/>
  <c r="G453" i="5"/>
  <c r="K452" i="5"/>
  <c r="G452" i="5"/>
  <c r="K451" i="5"/>
  <c r="G451" i="5"/>
  <c r="K450" i="5"/>
  <c r="G450" i="5"/>
  <c r="K449" i="5"/>
  <c r="G449" i="5"/>
  <c r="K448" i="5"/>
  <c r="G448" i="5"/>
  <c r="K447" i="5"/>
  <c r="G447" i="5"/>
  <c r="K446" i="5"/>
  <c r="G446" i="5"/>
  <c r="K445" i="5"/>
  <c r="G445" i="5"/>
  <c r="K444" i="5"/>
  <c r="G444" i="5"/>
  <c r="K443" i="5"/>
  <c r="G443" i="5"/>
  <c r="K442" i="5"/>
  <c r="G442" i="5"/>
  <c r="K441" i="5"/>
  <c r="G441" i="5"/>
  <c r="K440" i="5"/>
  <c r="G440" i="5"/>
  <c r="K439" i="5"/>
  <c r="G439" i="5"/>
  <c r="K438" i="5"/>
  <c r="G438" i="5"/>
  <c r="K437" i="5"/>
  <c r="G437" i="5"/>
  <c r="K436" i="5"/>
  <c r="G436" i="5"/>
  <c r="K435" i="5"/>
  <c r="G435" i="5"/>
  <c r="K434" i="5"/>
  <c r="G434" i="5"/>
  <c r="K433" i="5"/>
  <c r="G433" i="5"/>
  <c r="K432" i="5"/>
  <c r="G432" i="5"/>
  <c r="K431" i="5"/>
  <c r="G431" i="5"/>
  <c r="K430" i="5"/>
  <c r="G430" i="5"/>
  <c r="K429" i="5"/>
  <c r="G429" i="5"/>
  <c r="K428" i="5"/>
  <c r="G428" i="5"/>
  <c r="K427" i="5"/>
  <c r="G427" i="5"/>
  <c r="K426" i="5"/>
  <c r="G426" i="5"/>
  <c r="K425" i="5"/>
  <c r="G425" i="5"/>
  <c r="K424" i="5"/>
  <c r="G424" i="5"/>
  <c r="K423" i="5"/>
  <c r="G423" i="5"/>
  <c r="K422" i="5"/>
  <c r="G422" i="5"/>
  <c r="K421" i="5"/>
  <c r="G421" i="5"/>
  <c r="K420" i="5"/>
  <c r="G420" i="5"/>
  <c r="K419" i="5"/>
  <c r="G419" i="5"/>
  <c r="K418" i="5"/>
  <c r="G418" i="5"/>
  <c r="K417" i="5"/>
  <c r="G417" i="5"/>
  <c r="K416" i="5"/>
  <c r="G416" i="5"/>
  <c r="K415" i="5"/>
  <c r="G415" i="5"/>
  <c r="K414" i="5"/>
  <c r="G414" i="5"/>
  <c r="K413" i="5"/>
  <c r="G413" i="5"/>
  <c r="K412" i="5"/>
  <c r="G412" i="5"/>
  <c r="K411" i="5"/>
  <c r="G411" i="5"/>
  <c r="K410" i="5"/>
  <c r="G410" i="5"/>
  <c r="K409" i="5"/>
  <c r="G409" i="5"/>
  <c r="K408" i="5"/>
  <c r="G408" i="5"/>
  <c r="K407" i="5"/>
  <c r="G407" i="5"/>
  <c r="K406" i="5"/>
  <c r="G406" i="5"/>
  <c r="K405" i="5"/>
  <c r="G405" i="5"/>
  <c r="K404" i="5"/>
  <c r="G404" i="5"/>
  <c r="K403" i="5"/>
  <c r="G403" i="5"/>
  <c r="K402" i="5"/>
  <c r="G402" i="5"/>
  <c r="K401" i="5"/>
  <c r="G401" i="5"/>
  <c r="K400" i="5"/>
  <c r="G400" i="5"/>
  <c r="K399" i="5"/>
  <c r="G399" i="5"/>
  <c r="K398" i="5"/>
  <c r="G398" i="5"/>
  <c r="K397" i="5"/>
  <c r="G397" i="5"/>
  <c r="K396" i="5"/>
  <c r="G396" i="5"/>
  <c r="K395" i="5"/>
  <c r="G395" i="5"/>
  <c r="K394" i="5"/>
  <c r="G394" i="5"/>
  <c r="K393" i="5"/>
  <c r="G393" i="5"/>
  <c r="K392" i="5"/>
  <c r="G392" i="5"/>
  <c r="K391" i="5"/>
  <c r="G391" i="5"/>
  <c r="K390" i="5"/>
  <c r="G390" i="5"/>
  <c r="K389" i="5"/>
  <c r="G389" i="5"/>
  <c r="K388" i="5"/>
  <c r="G388" i="5"/>
  <c r="K387" i="5"/>
  <c r="G387" i="5"/>
  <c r="K386" i="5"/>
  <c r="G386" i="5"/>
  <c r="K385" i="5"/>
  <c r="G385" i="5"/>
  <c r="K384" i="5"/>
  <c r="G384" i="5"/>
  <c r="K383" i="5"/>
  <c r="G383" i="5"/>
  <c r="K382" i="5"/>
  <c r="G382" i="5"/>
  <c r="K381" i="5"/>
  <c r="G381" i="5"/>
  <c r="K380" i="5"/>
  <c r="G380" i="5"/>
  <c r="K379" i="5"/>
  <c r="G379" i="5"/>
  <c r="K378" i="5"/>
  <c r="G378" i="5"/>
  <c r="K377" i="5"/>
  <c r="G377" i="5"/>
  <c r="K376" i="5"/>
  <c r="G376" i="5"/>
  <c r="K375" i="5"/>
  <c r="G375" i="5"/>
  <c r="K374" i="5"/>
  <c r="G374" i="5"/>
  <c r="K373" i="5"/>
  <c r="G373" i="5"/>
  <c r="K372" i="5"/>
  <c r="G372" i="5"/>
  <c r="K371" i="5"/>
  <c r="G371" i="5"/>
  <c r="K370" i="5"/>
  <c r="G370" i="5"/>
  <c r="K369" i="5"/>
  <c r="G369" i="5"/>
  <c r="K368" i="5"/>
  <c r="G368" i="5"/>
  <c r="K367" i="5"/>
  <c r="G367" i="5"/>
  <c r="K366" i="5"/>
  <c r="G366" i="5"/>
  <c r="K365" i="5"/>
  <c r="G365" i="5"/>
  <c r="K364" i="5"/>
  <c r="G364" i="5"/>
  <c r="K363" i="5"/>
  <c r="G363" i="5"/>
  <c r="K362" i="5"/>
  <c r="G362" i="5"/>
  <c r="K361" i="5"/>
  <c r="G361" i="5"/>
  <c r="K360" i="5"/>
  <c r="G360" i="5"/>
  <c r="K359" i="5"/>
  <c r="G359" i="5"/>
  <c r="K358" i="5"/>
  <c r="G358" i="5"/>
  <c r="K357" i="5"/>
  <c r="G357" i="5"/>
  <c r="K356" i="5"/>
  <c r="G356" i="5"/>
  <c r="K355" i="5"/>
  <c r="G355" i="5"/>
  <c r="K354" i="5"/>
  <c r="G354" i="5"/>
  <c r="K353" i="5"/>
  <c r="G353" i="5"/>
  <c r="K352" i="5"/>
  <c r="G352" i="5"/>
  <c r="K351" i="5"/>
  <c r="G351" i="5"/>
  <c r="K350" i="5"/>
  <c r="G350" i="5"/>
  <c r="K349" i="5"/>
  <c r="G349" i="5"/>
  <c r="K348" i="5"/>
  <c r="G348" i="5"/>
  <c r="K347" i="5"/>
  <c r="G347" i="5"/>
  <c r="K346" i="5"/>
  <c r="G346" i="5"/>
  <c r="K345" i="5"/>
  <c r="G345" i="5"/>
  <c r="K344" i="5"/>
  <c r="G344" i="5"/>
  <c r="K343" i="5"/>
  <c r="G343" i="5"/>
  <c r="K342" i="5"/>
  <c r="G342" i="5"/>
  <c r="K341" i="5"/>
  <c r="G341" i="5"/>
  <c r="K340" i="5"/>
  <c r="G340" i="5"/>
  <c r="K339" i="5"/>
  <c r="G339" i="5"/>
  <c r="K338" i="5"/>
  <c r="G338" i="5"/>
  <c r="K337" i="5"/>
  <c r="G337" i="5"/>
  <c r="K336" i="5"/>
  <c r="G336" i="5"/>
  <c r="K335" i="5"/>
  <c r="G335" i="5"/>
  <c r="K334" i="5"/>
  <c r="G334" i="5"/>
  <c r="K333" i="5"/>
  <c r="G333" i="5"/>
  <c r="K332" i="5"/>
  <c r="G332" i="5"/>
  <c r="K331" i="5"/>
  <c r="G331" i="5"/>
  <c r="K330" i="5"/>
  <c r="G330" i="5"/>
  <c r="K329" i="5"/>
  <c r="G329" i="5"/>
  <c r="K328" i="5"/>
  <c r="G328" i="5"/>
  <c r="K327" i="5"/>
  <c r="G327" i="5"/>
  <c r="K326" i="5"/>
  <c r="G326" i="5"/>
  <c r="K325" i="5"/>
  <c r="G325" i="5"/>
  <c r="K324" i="5"/>
  <c r="G324" i="5"/>
  <c r="K323" i="5"/>
  <c r="G323" i="5"/>
  <c r="K322" i="5"/>
  <c r="G322" i="5"/>
  <c r="K321" i="5"/>
  <c r="G321" i="5"/>
  <c r="K320" i="5"/>
  <c r="G320" i="5"/>
  <c r="K319" i="5"/>
  <c r="G319" i="5"/>
  <c r="K318" i="5"/>
  <c r="G318" i="5"/>
  <c r="K317" i="5"/>
  <c r="G317" i="5"/>
  <c r="K316" i="5"/>
  <c r="G316" i="5"/>
  <c r="K315" i="5"/>
  <c r="G315" i="5"/>
  <c r="K314" i="5"/>
  <c r="G314" i="5"/>
  <c r="K313" i="5"/>
  <c r="G313" i="5"/>
  <c r="K312" i="5"/>
  <c r="G312" i="5"/>
  <c r="K311" i="5"/>
  <c r="G311" i="5"/>
  <c r="K310" i="5"/>
  <c r="G310" i="5"/>
  <c r="K309" i="5"/>
  <c r="G309" i="5"/>
  <c r="K308" i="5"/>
  <c r="G308" i="5"/>
  <c r="K307" i="5"/>
  <c r="G307" i="5"/>
  <c r="K306" i="5"/>
  <c r="G306" i="5"/>
  <c r="K305" i="5"/>
  <c r="G305" i="5"/>
  <c r="K304" i="5"/>
  <c r="G304" i="5"/>
  <c r="K303" i="5"/>
  <c r="G303" i="5"/>
  <c r="K302" i="5"/>
  <c r="G302" i="5"/>
  <c r="K301" i="5"/>
  <c r="G301" i="5"/>
  <c r="K300" i="5"/>
  <c r="G300" i="5"/>
  <c r="K299" i="5"/>
  <c r="G299" i="5"/>
  <c r="K298" i="5"/>
  <c r="G298" i="5"/>
  <c r="K297" i="5"/>
  <c r="G297" i="5"/>
  <c r="K296" i="5"/>
  <c r="G296" i="5"/>
  <c r="K295" i="5"/>
  <c r="G295" i="5"/>
  <c r="K294" i="5"/>
  <c r="G294" i="5"/>
  <c r="K293" i="5"/>
  <c r="G293" i="5"/>
  <c r="K292" i="5"/>
  <c r="G292" i="5"/>
  <c r="K291" i="5"/>
  <c r="G291" i="5"/>
  <c r="K290" i="5"/>
  <c r="G290" i="5"/>
  <c r="K289" i="5"/>
  <c r="G289" i="5"/>
  <c r="K288" i="5"/>
  <c r="G288" i="5"/>
  <c r="K287" i="5"/>
  <c r="G287" i="5"/>
  <c r="K286" i="5"/>
  <c r="G286" i="5"/>
  <c r="K285" i="5"/>
  <c r="G285" i="5"/>
  <c r="K284" i="5"/>
  <c r="G284" i="5"/>
  <c r="K283" i="5"/>
  <c r="G283" i="5"/>
  <c r="K282" i="5"/>
  <c r="G282" i="5"/>
  <c r="K281" i="5"/>
  <c r="G281" i="5"/>
  <c r="K280" i="5"/>
  <c r="G280" i="5"/>
  <c r="K279" i="5"/>
  <c r="G279" i="5"/>
  <c r="K278" i="5"/>
  <c r="G278" i="5"/>
  <c r="K277" i="5"/>
  <c r="G277" i="5"/>
  <c r="K276" i="5"/>
  <c r="G276" i="5"/>
  <c r="K275" i="5"/>
  <c r="G275" i="5"/>
  <c r="K274" i="5"/>
  <c r="G274" i="5"/>
  <c r="K273" i="5"/>
  <c r="G273" i="5"/>
  <c r="K272" i="5"/>
  <c r="G272" i="5"/>
  <c r="K271" i="5"/>
  <c r="G271" i="5"/>
  <c r="K270" i="5"/>
  <c r="G270" i="5"/>
  <c r="K269" i="5"/>
  <c r="G269" i="5"/>
  <c r="K268" i="5"/>
  <c r="G268" i="5"/>
  <c r="K267" i="5"/>
  <c r="G267" i="5"/>
  <c r="K266" i="5"/>
  <c r="G266" i="5"/>
  <c r="K265" i="5"/>
  <c r="G265" i="5"/>
  <c r="K264" i="5"/>
  <c r="G264" i="5"/>
  <c r="K263" i="5"/>
  <c r="G263" i="5"/>
  <c r="K262" i="5"/>
  <c r="G262" i="5"/>
  <c r="K261" i="5"/>
  <c r="G261" i="5"/>
  <c r="K260" i="5"/>
  <c r="G260" i="5"/>
  <c r="K259" i="5"/>
  <c r="G259" i="5"/>
  <c r="K258" i="5"/>
  <c r="G258" i="5"/>
  <c r="K257" i="5"/>
  <c r="G257" i="5"/>
  <c r="K256" i="5"/>
  <c r="G256" i="5"/>
  <c r="K255" i="5"/>
  <c r="G255" i="5"/>
  <c r="K254" i="5"/>
  <c r="G254" i="5"/>
  <c r="K253" i="5"/>
  <c r="G253" i="5"/>
  <c r="K252" i="5"/>
  <c r="G252" i="5"/>
  <c r="K251" i="5"/>
  <c r="G251" i="5"/>
  <c r="K250" i="5"/>
  <c r="G250" i="5"/>
  <c r="K249" i="5"/>
  <c r="G249" i="5"/>
  <c r="K248" i="5"/>
  <c r="G248" i="5"/>
  <c r="K247" i="5"/>
  <c r="G247" i="5"/>
  <c r="K246" i="5"/>
  <c r="G246" i="5"/>
  <c r="K245" i="5"/>
  <c r="G245" i="5"/>
  <c r="K244" i="5"/>
  <c r="G244" i="5"/>
  <c r="K243" i="5"/>
  <c r="G243" i="5"/>
  <c r="K242" i="5"/>
  <c r="G242" i="5"/>
  <c r="K241" i="5"/>
  <c r="G241" i="5"/>
  <c r="K240" i="5"/>
  <c r="G240" i="5"/>
  <c r="K239" i="5"/>
  <c r="G239" i="5"/>
  <c r="K238" i="5"/>
  <c r="G238" i="5"/>
  <c r="K237" i="5"/>
  <c r="G237" i="5"/>
  <c r="K236" i="5"/>
  <c r="G236" i="5"/>
  <c r="K235" i="5"/>
  <c r="G235" i="5"/>
  <c r="K234" i="5"/>
  <c r="G234" i="5"/>
  <c r="K233" i="5"/>
  <c r="G233" i="5"/>
  <c r="K232" i="5"/>
  <c r="G232" i="5"/>
  <c r="K231" i="5"/>
  <c r="G231" i="5"/>
  <c r="K230" i="5"/>
  <c r="G230" i="5"/>
  <c r="K229" i="5"/>
  <c r="G229" i="5"/>
  <c r="K228" i="5"/>
  <c r="G228" i="5"/>
  <c r="K227" i="5"/>
  <c r="G227" i="5"/>
  <c r="K226" i="5"/>
  <c r="G226" i="5"/>
  <c r="K225" i="5"/>
  <c r="G225" i="5"/>
  <c r="K224" i="5"/>
  <c r="G224" i="5"/>
  <c r="K223" i="5"/>
  <c r="G223" i="5"/>
  <c r="K222" i="5"/>
  <c r="G222" i="5"/>
  <c r="K221" i="5"/>
  <c r="G221" i="5"/>
  <c r="K220" i="5"/>
  <c r="G220" i="5"/>
  <c r="K219" i="5"/>
  <c r="G219" i="5"/>
  <c r="K218" i="5"/>
  <c r="G218" i="5"/>
  <c r="K217" i="5"/>
  <c r="G217" i="5"/>
  <c r="K216" i="5"/>
  <c r="G216" i="5"/>
  <c r="K215" i="5"/>
  <c r="G215" i="5"/>
  <c r="K214" i="5"/>
  <c r="G214" i="5"/>
  <c r="K213" i="5"/>
  <c r="G213" i="5"/>
  <c r="K212" i="5"/>
  <c r="G212" i="5"/>
  <c r="K211" i="5"/>
  <c r="G211" i="5"/>
  <c r="K210" i="5"/>
  <c r="G210" i="5"/>
  <c r="K209" i="5"/>
  <c r="G209" i="5"/>
  <c r="K208" i="5"/>
  <c r="G208" i="5"/>
  <c r="K207" i="5"/>
  <c r="G207" i="5"/>
  <c r="K206" i="5"/>
  <c r="G206" i="5"/>
  <c r="K205" i="5"/>
  <c r="G205" i="5"/>
  <c r="K204" i="5"/>
  <c r="G204" i="5"/>
  <c r="K203" i="5"/>
  <c r="G203" i="5"/>
  <c r="K202" i="5"/>
  <c r="G202" i="5"/>
  <c r="K201" i="5"/>
  <c r="G201" i="5"/>
  <c r="K200" i="5"/>
  <c r="G200" i="5"/>
  <c r="K199" i="5"/>
  <c r="G199" i="5"/>
  <c r="K198" i="5"/>
  <c r="G198" i="5"/>
  <c r="K197" i="5"/>
  <c r="G197" i="5"/>
  <c r="K196" i="5"/>
  <c r="G196" i="5"/>
  <c r="K195" i="5"/>
  <c r="G195" i="5"/>
  <c r="K194" i="5"/>
  <c r="G194" i="5"/>
  <c r="K193" i="5"/>
  <c r="G193" i="5"/>
  <c r="K192" i="5"/>
  <c r="G192" i="5"/>
  <c r="K191" i="5"/>
  <c r="G191" i="5"/>
  <c r="K190" i="5"/>
  <c r="G190" i="5"/>
  <c r="K189" i="5"/>
  <c r="G189" i="5"/>
  <c r="K188" i="5"/>
  <c r="G188" i="5"/>
  <c r="K187" i="5"/>
  <c r="G187" i="5"/>
  <c r="K186" i="5"/>
  <c r="G186" i="5"/>
  <c r="K185" i="5"/>
  <c r="G185" i="5"/>
  <c r="K184" i="5"/>
  <c r="G184" i="5"/>
  <c r="K183" i="5"/>
  <c r="G183" i="5"/>
  <c r="K182" i="5"/>
  <c r="G182" i="5"/>
  <c r="K181" i="5"/>
  <c r="G181" i="5"/>
  <c r="K180" i="5"/>
  <c r="G180" i="5"/>
  <c r="K179" i="5"/>
  <c r="G179" i="5"/>
  <c r="K178" i="5"/>
  <c r="G178" i="5"/>
  <c r="K177" i="5"/>
  <c r="G177" i="5"/>
  <c r="K176" i="5"/>
  <c r="G176" i="5"/>
  <c r="K175" i="5"/>
  <c r="G175" i="5"/>
  <c r="K174" i="5"/>
  <c r="G174" i="5"/>
  <c r="K173" i="5"/>
  <c r="G173" i="5"/>
  <c r="K172" i="5"/>
  <c r="G172" i="5"/>
  <c r="K171" i="5"/>
  <c r="G171" i="5"/>
  <c r="K170" i="5"/>
  <c r="G170" i="5"/>
  <c r="K169" i="5"/>
  <c r="G169" i="5"/>
  <c r="K168" i="5"/>
  <c r="G168" i="5"/>
  <c r="K167" i="5"/>
  <c r="G167" i="5"/>
  <c r="K166" i="5"/>
  <c r="G166" i="5"/>
  <c r="K165" i="5"/>
  <c r="G165" i="5"/>
  <c r="K164" i="5"/>
  <c r="G164" i="5"/>
  <c r="K163" i="5"/>
  <c r="G163" i="5"/>
  <c r="K162" i="5"/>
  <c r="G162" i="5"/>
  <c r="K161" i="5"/>
  <c r="G161" i="5"/>
  <c r="K160" i="5"/>
  <c r="G160" i="5"/>
  <c r="K159" i="5"/>
  <c r="G159" i="5"/>
  <c r="K158" i="5"/>
  <c r="G158" i="5"/>
  <c r="K157" i="5"/>
  <c r="G157" i="5"/>
  <c r="K156" i="5"/>
  <c r="G156" i="5"/>
  <c r="K155" i="5"/>
  <c r="G155" i="5"/>
  <c r="K154" i="5"/>
  <c r="G154" i="5"/>
  <c r="K153" i="5"/>
  <c r="G153" i="5"/>
  <c r="K152" i="5"/>
  <c r="G152" i="5"/>
  <c r="K151" i="5"/>
  <c r="G151" i="5"/>
  <c r="K150" i="5"/>
  <c r="G150" i="5"/>
  <c r="K149" i="5"/>
  <c r="G149" i="5"/>
  <c r="K148" i="5"/>
  <c r="G148" i="5"/>
  <c r="K147" i="5"/>
  <c r="G147" i="5"/>
  <c r="K146" i="5"/>
  <c r="G146" i="5"/>
  <c r="K145" i="5"/>
  <c r="G145" i="5"/>
  <c r="K144" i="5"/>
  <c r="G144" i="5"/>
  <c r="K143" i="5"/>
  <c r="G143" i="5"/>
  <c r="K142" i="5"/>
  <c r="G142" i="5"/>
  <c r="K141" i="5"/>
  <c r="G141" i="5"/>
  <c r="K140" i="5"/>
  <c r="G140" i="5"/>
  <c r="K139" i="5"/>
  <c r="G139" i="5"/>
  <c r="K138" i="5"/>
  <c r="G138" i="5"/>
  <c r="K137" i="5"/>
  <c r="G137" i="5"/>
  <c r="K136" i="5"/>
  <c r="G136" i="5"/>
  <c r="K135" i="5"/>
  <c r="G135" i="5"/>
  <c r="K134" i="5"/>
  <c r="G134" i="5"/>
  <c r="K133" i="5"/>
  <c r="G133" i="5"/>
  <c r="K132" i="5"/>
  <c r="G132" i="5"/>
  <c r="K131" i="5"/>
  <c r="G131" i="5"/>
  <c r="K130" i="5"/>
  <c r="G130" i="5"/>
  <c r="K129" i="5"/>
  <c r="G129" i="5"/>
  <c r="K128" i="5"/>
  <c r="G128" i="5"/>
  <c r="K127" i="5"/>
  <c r="G127" i="5"/>
  <c r="K126" i="5"/>
  <c r="G126" i="5"/>
  <c r="K125" i="5"/>
  <c r="G125" i="5"/>
  <c r="K124" i="5"/>
  <c r="G124" i="5"/>
  <c r="K123" i="5"/>
  <c r="G123" i="5"/>
  <c r="K122" i="5"/>
  <c r="G122" i="5"/>
  <c r="K121" i="5"/>
  <c r="G121" i="5"/>
  <c r="K120" i="5"/>
  <c r="G120" i="5"/>
  <c r="K119" i="5"/>
  <c r="G119" i="5"/>
  <c r="K118" i="5"/>
  <c r="G118" i="5"/>
  <c r="K117" i="5"/>
  <c r="G117" i="5"/>
  <c r="K116" i="5"/>
  <c r="G116" i="5"/>
  <c r="K115" i="5"/>
  <c r="G115" i="5"/>
  <c r="K114" i="5"/>
  <c r="G114" i="5"/>
  <c r="K113" i="5"/>
  <c r="G113" i="5"/>
  <c r="K112" i="5"/>
  <c r="G112" i="5"/>
  <c r="K111" i="5"/>
  <c r="G111" i="5"/>
  <c r="K110" i="5"/>
  <c r="G110" i="5"/>
  <c r="K109" i="5"/>
  <c r="G109" i="5"/>
  <c r="K108" i="5"/>
  <c r="G108" i="5"/>
  <c r="K107" i="5"/>
  <c r="G107" i="5"/>
  <c r="K106" i="5"/>
  <c r="G106" i="5"/>
  <c r="K105" i="5"/>
  <c r="G105" i="5"/>
  <c r="K104" i="5"/>
  <c r="G104" i="5"/>
  <c r="K103" i="5"/>
  <c r="G103" i="5"/>
  <c r="K102" i="5"/>
  <c r="G102" i="5"/>
  <c r="K101" i="5"/>
  <c r="G101" i="5"/>
  <c r="K100" i="5"/>
  <c r="G100" i="5"/>
  <c r="K99" i="5"/>
  <c r="G99" i="5"/>
  <c r="K98" i="5"/>
  <c r="G98" i="5"/>
  <c r="K97" i="5"/>
  <c r="G97" i="5"/>
  <c r="K96" i="5"/>
  <c r="G96" i="5"/>
  <c r="K95" i="5"/>
  <c r="G95" i="5"/>
  <c r="K94" i="5"/>
  <c r="G94" i="5"/>
  <c r="K93" i="5"/>
  <c r="G93" i="5"/>
  <c r="K92" i="5"/>
  <c r="G92" i="5"/>
  <c r="K91" i="5"/>
  <c r="G91" i="5"/>
  <c r="K90" i="5"/>
  <c r="G90" i="5"/>
  <c r="K89" i="5"/>
  <c r="G89" i="5"/>
  <c r="K88" i="5"/>
  <c r="G88" i="5"/>
  <c r="K87" i="5"/>
  <c r="G87" i="5"/>
  <c r="K86" i="5"/>
  <c r="G86" i="5"/>
  <c r="K85" i="5"/>
  <c r="G85" i="5"/>
  <c r="K84" i="5"/>
  <c r="G84" i="5"/>
  <c r="K83" i="5"/>
  <c r="G83" i="5"/>
  <c r="K82" i="5"/>
  <c r="G82" i="5"/>
  <c r="K81" i="5"/>
  <c r="G81" i="5"/>
  <c r="K80" i="5"/>
  <c r="G80" i="5"/>
  <c r="K79" i="5"/>
  <c r="G79" i="5"/>
  <c r="K78" i="5"/>
  <c r="G78" i="5"/>
  <c r="K77" i="5"/>
  <c r="G77" i="5"/>
  <c r="K76" i="5"/>
  <c r="G76" i="5"/>
  <c r="K75" i="5"/>
  <c r="G75" i="5"/>
  <c r="K74" i="5"/>
  <c r="G74" i="5"/>
  <c r="K73" i="5"/>
  <c r="G73" i="5"/>
  <c r="K72" i="5"/>
  <c r="G72" i="5"/>
  <c r="K71" i="5"/>
  <c r="G71" i="5"/>
  <c r="K70" i="5"/>
  <c r="G70" i="5"/>
  <c r="K69" i="5"/>
  <c r="G69" i="5"/>
  <c r="K68" i="5"/>
  <c r="G68" i="5"/>
  <c r="K67" i="5"/>
  <c r="G67" i="5"/>
  <c r="K66" i="5"/>
  <c r="G66" i="5"/>
  <c r="K65" i="5"/>
  <c r="G65" i="5"/>
  <c r="K64" i="5"/>
  <c r="G64" i="5"/>
  <c r="K63" i="5"/>
  <c r="G63" i="5"/>
  <c r="K62" i="5"/>
  <c r="G62" i="5"/>
  <c r="K61" i="5"/>
  <c r="G61" i="5"/>
  <c r="K60" i="5"/>
  <c r="G60" i="5"/>
  <c r="K59" i="5"/>
  <c r="G59" i="5"/>
  <c r="K58" i="5"/>
  <c r="G58" i="5"/>
  <c r="K57" i="5"/>
  <c r="G57" i="5"/>
  <c r="K56" i="5"/>
  <c r="G56" i="5"/>
  <c r="K55" i="5"/>
  <c r="G55" i="5"/>
  <c r="K54" i="5"/>
  <c r="G54" i="5"/>
  <c r="K53" i="5"/>
  <c r="G53" i="5"/>
  <c r="K52" i="5"/>
  <c r="G52" i="5"/>
  <c r="K51" i="5"/>
  <c r="G51" i="5"/>
  <c r="K50" i="5"/>
  <c r="G50" i="5"/>
  <c r="K49" i="5"/>
  <c r="G49" i="5"/>
  <c r="K48" i="5"/>
  <c r="G48" i="5"/>
  <c r="K47" i="5"/>
  <c r="G47" i="5"/>
  <c r="K46" i="5"/>
  <c r="G46" i="5"/>
  <c r="K45" i="5"/>
  <c r="G45" i="5"/>
  <c r="K44" i="5"/>
  <c r="G44" i="5"/>
  <c r="K43" i="5"/>
  <c r="G43" i="5"/>
  <c r="K42" i="5"/>
  <c r="G42" i="5"/>
  <c r="K41" i="5"/>
  <c r="G41" i="5"/>
  <c r="K40" i="5"/>
  <c r="G40" i="5"/>
  <c r="K39" i="5"/>
  <c r="G39" i="5"/>
  <c r="K38" i="5"/>
  <c r="G38" i="5"/>
  <c r="K37" i="5"/>
  <c r="G37" i="5"/>
  <c r="K36" i="5"/>
  <c r="G36" i="5"/>
  <c r="K35" i="5"/>
  <c r="G35" i="5"/>
  <c r="K34" i="5"/>
  <c r="G34" i="5"/>
  <c r="K33" i="5"/>
  <c r="G33" i="5"/>
  <c r="K32" i="5"/>
  <c r="G32" i="5"/>
  <c r="K31" i="5"/>
  <c r="G31" i="5"/>
  <c r="K30" i="5"/>
  <c r="G30" i="5"/>
  <c r="K29" i="5"/>
  <c r="G29" i="5"/>
  <c r="K28" i="5"/>
  <c r="G28" i="5"/>
  <c r="K27" i="5"/>
  <c r="G27" i="5"/>
  <c r="K26" i="5"/>
  <c r="G26" i="5"/>
  <c r="K25" i="5"/>
  <c r="G25" i="5"/>
  <c r="K24" i="5"/>
  <c r="G24" i="5"/>
  <c r="K23" i="5"/>
  <c r="G23" i="5"/>
  <c r="K22" i="5"/>
  <c r="G22" i="5"/>
  <c r="K21" i="5"/>
  <c r="G21" i="5"/>
  <c r="K20" i="5"/>
  <c r="G20" i="5"/>
  <c r="K19" i="5"/>
  <c r="G19" i="5"/>
  <c r="K18" i="5"/>
  <c r="G18" i="5"/>
  <c r="K17" i="5"/>
  <c r="G17" i="5"/>
  <c r="K16" i="5"/>
  <c r="G16" i="5"/>
  <c r="K15" i="5"/>
  <c r="G15" i="5"/>
  <c r="K14" i="5"/>
  <c r="G14" i="5"/>
  <c r="K13" i="5"/>
  <c r="G13" i="5"/>
  <c r="K12" i="5"/>
  <c r="G12" i="5"/>
  <c r="K11" i="5"/>
  <c r="G11" i="5"/>
  <c r="K10" i="5"/>
  <c r="G10" i="5"/>
  <c r="K9" i="5"/>
  <c r="G9" i="5"/>
  <c r="K8" i="5"/>
  <c r="G8" i="5"/>
  <c r="K7" i="5"/>
  <c r="G7" i="5"/>
  <c r="D7" i="5"/>
  <c r="K6" i="5"/>
  <c r="G6" i="5"/>
  <c r="D6" i="5"/>
  <c r="K5" i="5"/>
  <c r="G5" i="5"/>
  <c r="D5" i="5"/>
  <c r="K4" i="5"/>
  <c r="G4" i="5"/>
  <c r="D4" i="5"/>
  <c r="K3" i="5"/>
  <c r="G3" i="5"/>
  <c r="D3" i="5"/>
  <c r="K2" i="5"/>
  <c r="G2" i="5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E7D02-79C2-4D66-86E8-7A007D5A3352}" keepAlive="1" name="Запрос — Teen_Mental_Health_Dataset" description="Соединение с запросом &quot;Teen_Mental_Health_Dataset&quot; в книге." type="5" refreshedVersion="0" background="1">
    <dbPr connection="Provider=Microsoft.Mashup.OleDb.1;Data Source=$Workbook$;Location=Teen_Mental_Health_Dataset;Extended Properties=&quot;&quot;" command="SELECT * FROM [Teen_Mental_Health_Dataset]"/>
  </connection>
  <connection id="2" xr16:uid="{6B9BAA64-9F1A-467F-B51B-3DED31B4923E}" keepAlive="1" name="Запрос — Teen_Mental_Health_Dataset (2)" description="Соединение с запросом &quot;Teen_Mental_Health_Dataset (2)&quot; в книге." type="5" refreshedVersion="8" background="1" saveData="1">
    <dbPr connection="Provider=Microsoft.Mashup.OleDb.1;Data Source=$Workbook$;Location=&quot;Teen_Mental_Health_Dataset (2)&quot;;Extended Properties=&quot;&quot;" command="SELECT * FROM [Teen_Mental_Health_Dataset (2)]"/>
  </connection>
  <connection id="3" xr16:uid="{9C7A882C-D0D4-404C-B250-07332304CCE5}" keepAlive="1" name="Запрос — Teen_Mental_Health_Dataset (3)" description="Соединение с запросом &quot;Teen_Mental_Health_Dataset (3)&quot; в книге." type="5" refreshedVersion="8" background="1" saveData="1">
    <dbPr connection="Provider=Microsoft.Mashup.OleDb.1;Data Source=$Workbook$;Location=&quot;Teen_Mental_Health_Dataset (3)&quot;;Extended Properties=&quot;&quot;" command="SELECT * FROM [Teen_Mental_Health_Dataset (3)]"/>
  </connection>
</connections>
</file>

<file path=xl/sharedStrings.xml><?xml version="1.0" encoding="utf-8"?>
<sst xmlns="http://schemas.openxmlformats.org/spreadsheetml/2006/main" count="3760" uniqueCount="83">
  <si>
    <t>gender</t>
  </si>
  <si>
    <t>daily_social_media_hours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</si>
  <si>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</si>
  <si>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</si>
  <si>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</si>
  <si>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</si>
  <si>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</si>
  <si>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</si>
  <si>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</si>
  <si>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</si>
  <si>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</si>
  <si>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</si>
  <si>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</si>
  <si>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</si>
  <si>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</si>
  <si>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</si>
  <si>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</si>
  <si>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</si>
  <si>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</si>
  <si>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activity_brackets</t>
  </si>
  <si>
    <t>social_media_level</t>
  </si>
  <si>
    <t>Age</t>
  </si>
  <si>
    <t>Total</t>
  </si>
  <si>
    <t/>
  </si>
  <si>
    <t>sleep_duration</t>
  </si>
  <si>
    <t>Depression</t>
  </si>
  <si>
    <t xml:space="preserve">Yes </t>
  </si>
  <si>
    <t>Average age</t>
  </si>
  <si>
    <t xml:space="preserve">No </t>
  </si>
  <si>
    <t>Depression ratio</t>
  </si>
  <si>
    <t xml:space="preserve"> </t>
  </si>
  <si>
    <t>Avg daily social media hours</t>
  </si>
  <si>
    <t>High</t>
  </si>
  <si>
    <t>Low</t>
  </si>
  <si>
    <t>Medium</t>
  </si>
  <si>
    <t>Общий итог</t>
  </si>
  <si>
    <t>Social media level</t>
  </si>
  <si>
    <t>Number of teens</t>
  </si>
  <si>
    <t>No depression</t>
  </si>
  <si>
    <t>Stress</t>
  </si>
  <si>
    <t>Anxiety</t>
  </si>
  <si>
    <t>Addiction</t>
  </si>
  <si>
    <t>Platform</t>
  </si>
  <si>
    <t>platform</t>
  </si>
  <si>
    <t>With depression</t>
  </si>
  <si>
    <t>age</t>
  </si>
  <si>
    <t>Normal</t>
  </si>
  <si>
    <t>Average sleep hours</t>
  </si>
  <si>
    <t>Average physical activity hours</t>
  </si>
  <si>
    <t>Sleep level</t>
  </si>
  <si>
    <t>Rate</t>
  </si>
  <si>
    <t>Gender</t>
  </si>
  <si>
    <t>Avg anxiety level</t>
  </si>
  <si>
    <t>Avg stress level</t>
  </si>
  <si>
    <t>0-1 hours</t>
  </si>
  <si>
    <t>1-2 hours</t>
  </si>
  <si>
    <t>No activity</t>
  </si>
  <si>
    <t>Avg screen time before sleep</t>
  </si>
  <si>
    <t xml:space="preserve">Anxiety </t>
  </si>
  <si>
    <t>Avg social media hours</t>
  </si>
  <si>
    <t>Названия строк</t>
  </si>
  <si>
    <t>Sleep time</t>
  </si>
  <si>
    <t>Physical activity</t>
  </si>
  <si>
    <t>Social interraction level</t>
  </si>
  <si>
    <t>Teens with depression</t>
  </si>
  <si>
    <t>DEPRESSION BY AGE AND GENDER</t>
  </si>
  <si>
    <t>STRESS, ANXIETY AND ADDICTION BY GENDER</t>
  </si>
  <si>
    <t>STRESS, ANXIETY AND ADDICTION BY AGE</t>
  </si>
  <si>
    <t>AVG DEPRESSION AGE</t>
  </si>
  <si>
    <t>DEPRESSION RATE BY GENDER</t>
  </si>
  <si>
    <t>STRESS, ANXIETY, ADDICTION BY DEPRESSION STATUS</t>
  </si>
  <si>
    <t>SOCIAL MEDIA USAGE AND DEPRESSION</t>
  </si>
  <si>
    <t>PLATFORM USAGE</t>
  </si>
  <si>
    <t>SOCIAL MEDIA USAGE LEVEL</t>
  </si>
  <si>
    <t>Daily social media hours</t>
  </si>
  <si>
    <t>AVERAGE SOCIAL MEDIA TIME BY AGE</t>
  </si>
  <si>
    <t>AVERAGE STRESS, ANXIETY, ADDICTION BY SOCIAL MEDIA USAGE TIME</t>
  </si>
  <si>
    <t>SLEEP QUALITY (NORMAL VS LOW)</t>
  </si>
  <si>
    <t>DEPRESSION VS SLEEP DURATION AND PHYSICAL ACTIVITY</t>
  </si>
  <si>
    <t>AVERAGE STRESS, ANXIETY, ADDICTION BY SLEEP LEVEL</t>
  </si>
  <si>
    <t>AVERAGE STRESS, ANXIETY, ADDICTION BY PHYSICAL ACTIVITY HOURS</t>
  </si>
  <si>
    <t>SOCIAL INERACTION LEVELS</t>
  </si>
  <si>
    <t>DEPRESSION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</si>
</sst>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</cellXfs>
  <cellStyles count="1">
    <cellStyle name="Обычный" xfId="0" builtinId="0"/>
  </cellStyles>
  <dxfs count="54">
    <dxf>
      <numFmt numFmtId="2" formatCode="0.00"/>
    </dxf>
    <dxf>
      <numFmt numFmtId="14" formatCode="0.00%"/>
    </dxf>
    <dxf>
      <numFmt numFmtId="164" formatCode="0.0"/>
    </dxf>
    <dxf>
      <alignment wrapText="0"/>
    </dxf>
    <dxf>
      <numFmt numFmtId="1" formatCode="0"/>
    </dxf>
    <dxf>
      <alignment wrapText="0"/>
    </dxf>
    <dxf>
      <alignment vertical="center"/>
    </dxf>
    <dxf>
      <alignment vertical="center"/>
    </dxf>
    <dxf>
      <alignment wrapText="1"/>
    </dxf>
    <dxf>
      <numFmt numFmtId="2" formatCode="0.00"/>
    </dxf>
    <dxf>
      <alignment wrapText="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alignment wrapText="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alignment wrapText="0"/>
    </dxf>
    <dxf>
      <numFmt numFmtId="2" formatCode="0.00"/>
    </dxf>
    <dxf>
      <numFmt numFmtId="164" formatCode="0.0"/>
    </dxf>
    <dxf>
      <alignment wrapText="0"/>
    </dxf>
    <dxf>
      <numFmt numFmtId="1" formatCode="0"/>
    </dxf>
    <dxf>
      <alignment wrapText="0"/>
    </dxf>
    <dxf>
      <alignment wrapText="0"/>
    </dxf>
    <dxf>
      <alignment wrapText="0"/>
    </dxf>
    <dxf>
      <alignment vertical="center"/>
    </dxf>
    <dxf>
      <alignment vertical="center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3" tint="-0.24994659260841701"/>
        <name val="Bahnschrift"/>
        <family val="2"/>
        <charset val="204"/>
        <scheme val="none"/>
      </font>
    </dxf>
  </dxfs>
  <tableStyles count="1" defaultTableStyle="TableStyleMedium2" defaultPivotStyle="PivotStyleLight16">
    <tableStyle name="Стиль среза 1" pivot="0" table="0" count="1" xr9:uid="{F88B440D-BB90-47E2-9761-5C2737348C13}">
      <tableStyleElement type="headerRow" dxfId="53"/>
    </tableStyle>
  </tableStyles>
  <colors>
    <mruColors>
      <color rgb="FF4472C4"/>
      <color rgb="FFDE8A8A"/>
      <color rgb="FFFFBCB3"/>
      <color rgb="FFBA470E"/>
      <color rgb="FF000000"/>
      <color rgb="FF810F0F"/>
      <color rgb="FFFA716E"/>
      <color rgb="FFCF0C07"/>
      <color rgb="FF394659"/>
    </mruColors>
  </colors>
  <extLst>
    <ext xmlns:x14="http://schemas.microsoft.com/office/spreadsheetml/2009/9/main" uri="{EB79DEF2-80B8-43e5-95BD-54CBDDF9020C}">
      <x14:slicerStyles defaultSlicerStyle="SlicerStyleLight1">
        <x14:slicerStyle name="Стиль среза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таблица5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tables'!$K$6:$K$7</c:f>
              <c:strCache>
                <c:ptCount val="1"/>
                <c:pt idx="0">
                  <c:v>Yes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F9-4F8C-8A1E-350F16E4D1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F9-4F8C-8A1E-350F16E4D1C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tables'!$J$8:$J$10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tables'!$K$8:$K$10</c:f>
              <c:numCache>
                <c:formatCode>General</c:formatCode>
                <c:ptCount val="2"/>
                <c:pt idx="0">
                  <c:v>17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F9-4F8C-8A1E-350F16E4D1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таблица1</c:name>
    <c:fmtId val="3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tables'!$F$6:$F$7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tables'!$E$8:$E$15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tables'!$F$8:$F$15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2-4DC8-B908-289516F6483D}"/>
            </c:ext>
          </c:extLst>
        </c:ser>
        <c:ser>
          <c:idx val="1"/>
          <c:order val="1"/>
          <c:tx>
            <c:strRef>
              <c:f>'Pivot tables'!$G$6:$G$7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tables'!$E$8:$E$15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tables'!$G$8:$G$15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5-4558-AF01-4321229A46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60105343"/>
        <c:axId val="1660108703"/>
      </c:barChart>
      <c:catAx>
        <c:axId val="166010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2">
                        <a:lumMod val="75000"/>
                      </a:schemeClr>
                    </a:solidFill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0108703"/>
        <c:crosses val="autoZero"/>
        <c:auto val="1"/>
        <c:lblAlgn val="ctr"/>
        <c:lblOffset val="100"/>
        <c:noMultiLvlLbl val="0"/>
      </c:catAx>
      <c:valAx>
        <c:axId val="16601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2">
                        <a:lumMod val="75000"/>
                      </a:schemeClr>
                    </a:solidFill>
                  </a:rPr>
                  <a:t>Teens with depression</a:t>
                </a:r>
                <a:endParaRPr lang="ru-RU">
                  <a:solidFill>
                    <a:schemeClr val="tx2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01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таблица3</c:name>
    <c:fmtId val="6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tables'!$K$16</c:f>
              <c:strCache>
                <c:ptCount val="1"/>
                <c:pt idx="0">
                  <c:v>Stress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tables'!$J$17:$J$24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tables'!$K$17:$K$24</c:f>
              <c:numCache>
                <c:formatCode>0.00</c:formatCode>
                <c:ptCount val="7"/>
                <c:pt idx="0">
                  <c:v>5.46</c:v>
                </c:pt>
                <c:pt idx="1">
                  <c:v>6.1764705882352944</c:v>
                </c:pt>
                <c:pt idx="2">
                  <c:v>5.1333333333333337</c:v>
                </c:pt>
                <c:pt idx="3">
                  <c:v>5.4539877300613497</c:v>
                </c:pt>
                <c:pt idx="4">
                  <c:v>5.1705882352941179</c:v>
                </c:pt>
                <c:pt idx="5">
                  <c:v>5.2034883720930232</c:v>
                </c:pt>
                <c:pt idx="6">
                  <c:v>5.6234567901234565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3-46EB-91FC-EB4AF5B965BB}"/>
            </c:ext>
          </c:extLst>
        </c:ser>
        <c:ser>
          <c:idx val="1"/>
          <c:order val="1"/>
          <c:tx>
            <c:strRef>
              <c:f>'Pivot tables'!$L$16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tables'!$J$17:$J$24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tables'!$L$17:$L$24</c:f>
              <c:numCache>
                <c:formatCode>0.00</c:formatCode>
                <c:ptCount val="7"/>
                <c:pt idx="0">
                  <c:v>5.5549999999999997</c:v>
                </c:pt>
                <c:pt idx="1">
                  <c:v>5.333333333333333</c:v>
                </c:pt>
                <c:pt idx="2">
                  <c:v>5.916666666666667</c:v>
                </c:pt>
                <c:pt idx="3">
                  <c:v>5.6441717791411046</c:v>
                </c:pt>
                <c:pt idx="4">
                  <c:v>5.5764705882352938</c:v>
                </c:pt>
                <c:pt idx="5">
                  <c:v>5.4186046511627906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3-46EB-91FC-EB4AF5B965BB}"/>
            </c:ext>
          </c:extLst>
        </c:ser>
        <c:ser>
          <c:idx val="2"/>
          <c:order val="2"/>
          <c:tx>
            <c:strRef>
              <c:f>'Pivot tables'!$M$16</c:f>
              <c:strCache>
                <c:ptCount val="1"/>
                <c:pt idx="0">
                  <c:v>Addiction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tables'!$J$17:$J$24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tables'!$M$17:$M$24</c:f>
              <c:numCache>
                <c:formatCode>0.00</c:formatCode>
                <c:ptCount val="7"/>
                <c:pt idx="0">
                  <c:v>5.7450000000000001</c:v>
                </c:pt>
                <c:pt idx="1">
                  <c:v>5.2026143790849675</c:v>
                </c:pt>
                <c:pt idx="2">
                  <c:v>5.2833333333333332</c:v>
                </c:pt>
                <c:pt idx="3">
                  <c:v>5.4110429447852759</c:v>
                </c:pt>
                <c:pt idx="4">
                  <c:v>5.7823529411764705</c:v>
                </c:pt>
                <c:pt idx="5">
                  <c:v>5.5813953488372094</c:v>
                </c:pt>
                <c:pt idx="6">
                  <c:v>5.9074074074074074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3-46EB-91FC-EB4AF5B96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128032"/>
        <c:axId val="1816130912"/>
      </c:lineChart>
      <c:catAx>
        <c:axId val="181612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6130912"/>
        <c:crosses val="autoZero"/>
        <c:auto val="1"/>
        <c:lblAlgn val="ctr"/>
        <c:lblOffset val="100"/>
        <c:noMultiLvlLbl val="0"/>
      </c:catAx>
      <c:valAx>
        <c:axId val="1816130912"/>
        <c:scaling>
          <c:orientation val="minMax"/>
          <c:min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612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таблица2</c:name>
    <c:fmtId val="5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tables'!$O$6</c:f>
              <c:strCache>
                <c:ptCount val="1"/>
                <c:pt idx="0">
                  <c:v>Stress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tables'!$N$7:$N$9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tables'!$O$7:$O$9</c:f>
              <c:numCache>
                <c:formatCode>0.00</c:formatCode>
                <c:ptCount val="2"/>
                <c:pt idx="0">
                  <c:v>5.4222222222222225</c:v>
                </c:pt>
                <c:pt idx="1">
                  <c:v>5.4682926829268297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2-4172-A6B8-E5ECE119CFDF}"/>
            </c:ext>
          </c:extLst>
        </c:ser>
        <c:ser>
          <c:idx val="1"/>
          <c:order val="1"/>
          <c:tx>
            <c:strRef>
              <c:f>'Pivot tables'!$P$6</c:f>
              <c:strCache>
                <c:ptCount val="1"/>
                <c:pt idx="0">
                  <c:v>Anxiety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tables'!$N$7:$N$9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tables'!$P$7:$P$9</c:f>
              <c:numCache>
                <c:formatCode>0.00</c:formatCode>
                <c:ptCount val="2"/>
                <c:pt idx="0">
                  <c:v>5.6871794871794874</c:v>
                </c:pt>
                <c:pt idx="1">
                  <c:v>5.588617886178862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2-4172-A6B8-E5ECE119CFDF}"/>
            </c:ext>
          </c:extLst>
        </c:ser>
        <c:ser>
          <c:idx val="2"/>
          <c:order val="2"/>
          <c:tx>
            <c:strRef>
              <c:f>'Pivot tables'!$Q$6</c:f>
              <c:strCache>
                <c:ptCount val="1"/>
                <c:pt idx="0">
                  <c:v>Addiction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tables'!$N$7:$N$9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tables'!$Q$7:$Q$9</c:f>
              <c:numCache>
                <c:formatCode>0.00</c:formatCode>
                <c:ptCount val="2"/>
                <c:pt idx="0">
                  <c:v>5.4854700854700855</c:v>
                </c:pt>
                <c:pt idx="1">
                  <c:v>5.640650406504065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82-4172-A6B8-E5ECE119CF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13939872"/>
        <c:axId val="2113932192"/>
      </c:barChart>
      <c:catAx>
        <c:axId val="211393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3932192"/>
        <c:crosses val="autoZero"/>
        <c:auto val="1"/>
        <c:lblAlgn val="ctr"/>
        <c:lblOffset val="100"/>
        <c:noMultiLvlLbl val="0"/>
      </c:catAx>
      <c:valAx>
        <c:axId val="2113932192"/>
        <c:scaling>
          <c:orientation val="minMax"/>
          <c:max val="6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39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таблица25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tables'!$F$20</c:f>
              <c:strCache>
                <c:ptCount val="1"/>
                <c:pt idx="0">
                  <c:v>Stress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tables'!$E$21:$E$23</c:f>
              <c:strCache>
                <c:ptCount val="2"/>
                <c:pt idx="0">
                  <c:v>No depression</c:v>
                </c:pt>
                <c:pt idx="1">
                  <c:v>With depression</c:v>
                </c:pt>
              </c:strCache>
            </c:strRef>
          </c:cat>
          <c:val>
            <c:numRef>
              <c:f>'Pivot tables'!$F$21:$F$23</c:f>
              <c:numCache>
                <c:formatCode>0.0</c:formatCode>
                <c:ptCount val="2"/>
                <c:pt idx="0">
                  <c:v>5.365269461077844</c:v>
                </c:pt>
                <c:pt idx="1">
                  <c:v>8.4838709677419359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1-4989-8FF5-902282245206}"/>
            </c:ext>
          </c:extLst>
        </c:ser>
        <c:ser>
          <c:idx val="1"/>
          <c:order val="1"/>
          <c:tx>
            <c:strRef>
              <c:f>'Pivot tables'!$G$20</c:f>
              <c:strCache>
                <c:ptCount val="1"/>
                <c:pt idx="0">
                  <c:v>Anxiety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tables'!$E$21:$E$23</c:f>
              <c:strCache>
                <c:ptCount val="2"/>
                <c:pt idx="0">
                  <c:v>No depression</c:v>
                </c:pt>
                <c:pt idx="1">
                  <c:v>With depression</c:v>
                </c:pt>
              </c:strCache>
            </c:strRef>
          </c:cat>
          <c:val>
            <c:numRef>
              <c:f>'Pivot tables'!$G$21:$G$23</c:f>
              <c:numCache>
                <c:formatCode>0.0</c:formatCode>
                <c:ptCount val="2"/>
                <c:pt idx="0">
                  <c:v>5.5577416595380669</c:v>
                </c:pt>
                <c:pt idx="1">
                  <c:v>8.612903225806452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1-4989-8FF5-902282245206}"/>
            </c:ext>
          </c:extLst>
        </c:ser>
        <c:ser>
          <c:idx val="2"/>
          <c:order val="2"/>
          <c:tx>
            <c:strRef>
              <c:f>'Pivot tables'!$H$20</c:f>
              <c:strCache>
                <c:ptCount val="1"/>
                <c:pt idx="0">
                  <c:v>Addiction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tables'!$E$21:$E$23</c:f>
              <c:strCache>
                <c:ptCount val="2"/>
                <c:pt idx="0">
                  <c:v>No depression</c:v>
                </c:pt>
                <c:pt idx="1">
                  <c:v>With depression</c:v>
                </c:pt>
              </c:strCache>
            </c:strRef>
          </c:cat>
          <c:val>
            <c:numRef>
              <c:f>'Pivot tables'!$H$21:$H$23</c:f>
              <c:numCache>
                <c:formatCode>0.0</c:formatCode>
                <c:ptCount val="2"/>
                <c:pt idx="0">
                  <c:v>5.5714285714285712</c:v>
                </c:pt>
                <c:pt idx="1">
                  <c:v>5.32258064516129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91-4989-8FF5-902282245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535951"/>
        <c:axId val="1360560431"/>
      </c:barChart>
      <c:catAx>
        <c:axId val="136053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0560431"/>
        <c:crosses val="autoZero"/>
        <c:auto val="1"/>
        <c:lblAlgn val="ctr"/>
        <c:lblOffset val="100"/>
        <c:noMultiLvlLbl val="0"/>
      </c:catAx>
      <c:valAx>
        <c:axId val="13605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053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таблица10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tables'!$C$37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tables'!$B$38:$B$40</c:f>
              <c:strCache>
                <c:ptCount val="2"/>
                <c:pt idx="0">
                  <c:v>No depression</c:v>
                </c:pt>
                <c:pt idx="1">
                  <c:v>With depression</c:v>
                </c:pt>
              </c:strCache>
            </c:strRef>
          </c:cat>
          <c:val>
            <c:numRef>
              <c:f>'Pivot tables'!$C$38:$C$40</c:f>
              <c:numCache>
                <c:formatCode>0.00</c:formatCode>
                <c:ptCount val="2"/>
                <c:pt idx="0">
                  <c:v>4.4787852865697237</c:v>
                </c:pt>
                <c:pt idx="1">
                  <c:v>6.7193548387096804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2-4C5F-BA52-7B239A00C2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9"/>
        <c:axId val="694712480"/>
        <c:axId val="694716800"/>
      </c:barChart>
      <c:catAx>
        <c:axId val="69471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4716800"/>
        <c:crosses val="autoZero"/>
        <c:auto val="1"/>
        <c:lblAlgn val="ctr"/>
        <c:lblOffset val="100"/>
        <c:noMultiLvlLbl val="0"/>
      </c:catAx>
      <c:valAx>
        <c:axId val="6947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hours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471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таблица13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tables'!$F$41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tables'!$E$42:$E$49</c:f>
              <c:strCach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strCache>
            </c:strRef>
          </c:cat>
          <c:val>
            <c:numRef>
              <c:f>'Pivot tables'!$F$42:$F$49</c:f>
              <c:numCache>
                <c:formatCode>0.00</c:formatCode>
                <c:ptCount val="7"/>
                <c:pt idx="0">
                  <c:v>4.5109999999999975</c:v>
                </c:pt>
                <c:pt idx="1">
                  <c:v>4.3509803921568633</c:v>
                </c:pt>
                <c:pt idx="2">
                  <c:v>4.7172222222222207</c:v>
                </c:pt>
                <c:pt idx="3">
                  <c:v>4.6368098159509215</c:v>
                </c:pt>
                <c:pt idx="4">
                  <c:v>4.763529411764706</c:v>
                </c:pt>
                <c:pt idx="5">
                  <c:v>4.2424418604651146</c:v>
                </c:pt>
                <c:pt idx="6">
                  <c:v>4.5166666666666657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3-4236-80A3-3B3E39E9D3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5475152"/>
        <c:axId val="485481872"/>
      </c:lineChart>
      <c:catAx>
        <c:axId val="48547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481872"/>
        <c:crosses val="autoZero"/>
        <c:auto val="1"/>
        <c:lblAlgn val="ctr"/>
        <c:lblOffset val="100"/>
        <c:noMultiLvlLbl val="0"/>
      </c:catAx>
      <c:valAx>
        <c:axId val="485481872"/>
        <c:scaling>
          <c:orientation val="minMax"/>
          <c:min val="4.09999999999999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47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tables'!$I$32</c:f>
              <c:strCache>
                <c:ptCount val="1"/>
                <c:pt idx="0">
                  <c:v>Stress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tables'!$H$33:$H$36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tables'!$I$33:$I$36</c:f>
              <c:numCache>
                <c:formatCode>0.00</c:formatCode>
                <c:ptCount val="3"/>
                <c:pt idx="0">
                  <c:v>5.4900662251655632</c:v>
                </c:pt>
                <c:pt idx="1">
                  <c:v>5.3838862559241702</c:v>
                </c:pt>
                <c:pt idx="2">
                  <c:v>5.668292682926829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1-44F9-B50C-F29D687590B4}"/>
            </c:ext>
          </c:extLst>
        </c:ser>
        <c:ser>
          <c:idx val="1"/>
          <c:order val="1"/>
          <c:tx>
            <c:strRef>
              <c:f>'Pivot tables'!$J$32</c:f>
              <c:strCache>
                <c:ptCount val="1"/>
                <c:pt idx="0">
                  <c:v>Anxiety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tables'!$H$33:$H$36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tables'!$J$33:$J$36</c:f>
              <c:numCache>
                <c:formatCode>0.00</c:formatCode>
                <c:ptCount val="3"/>
                <c:pt idx="0">
                  <c:v>5.298013245033113</c:v>
                </c:pt>
                <c:pt idx="1">
                  <c:v>5.6966824644549767</c:v>
                </c:pt>
                <c:pt idx="2">
                  <c:v>5.6390243902439021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1-44F9-B50C-F29D687590B4}"/>
            </c:ext>
          </c:extLst>
        </c:ser>
        <c:ser>
          <c:idx val="2"/>
          <c:order val="2"/>
          <c:tx>
            <c:strRef>
              <c:f>'Pivot tables'!$K$32</c:f>
              <c:strCache>
                <c:ptCount val="1"/>
                <c:pt idx="0">
                  <c:v>Addiction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tables'!$H$33:$H$36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tables'!$K$33:$K$36</c:f>
              <c:numCache>
                <c:formatCode>0.00</c:formatCode>
                <c:ptCount val="3"/>
                <c:pt idx="0">
                  <c:v>5.9072847682119205</c:v>
                </c:pt>
                <c:pt idx="1">
                  <c:v>5.540284360189573</c:v>
                </c:pt>
                <c:pt idx="2">
                  <c:v>5.4146341463414638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1-44F9-B50C-F29D68759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1"/>
        <c:axId val="694742240"/>
        <c:axId val="694742720"/>
      </c:barChart>
      <c:catAx>
        <c:axId val="694742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Social media level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4742720"/>
        <c:crosses val="autoZero"/>
        <c:auto val="1"/>
        <c:lblAlgn val="ctr"/>
        <c:lblOffset val="100"/>
        <c:noMultiLvlLbl val="0"/>
      </c:catAx>
      <c:valAx>
        <c:axId val="694742720"/>
        <c:scaling>
          <c:orientation val="minMax"/>
          <c:max val="6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stress,</a:t>
                </a:r>
                <a:r>
                  <a:rPr lang="en-US" baseline="0"/>
                  <a:t> anxiety and addiction level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474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таблица16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tables'!$F$32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tables'!$E$33:$E$36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tables'!$F$33:$F$36</c:f>
              <c:numCache>
                <c:formatCode>0</c:formatCode>
                <c:ptCount val="3"/>
                <c:pt idx="0">
                  <c:v>151</c:v>
                </c:pt>
                <c:pt idx="1">
                  <c:v>844</c:v>
                </c:pt>
                <c:pt idx="2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8-432A-A324-D05EC50EA7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485448752"/>
        <c:axId val="485451632"/>
      </c:barChart>
      <c:catAx>
        <c:axId val="48544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451632"/>
        <c:crosses val="autoZero"/>
        <c:auto val="1"/>
        <c:lblAlgn val="ctr"/>
        <c:lblOffset val="100"/>
        <c:noMultiLvlLbl val="0"/>
      </c:catAx>
      <c:valAx>
        <c:axId val="4854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teens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44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таблица17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97046413502111"/>
                  <c:h val="0.25872644900279185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7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9DC42E9-29ED-40B5-9B17-9D21CB6A5EE8}" type="CATEGORYNAME">
                  <a:rPr lang="en-US">
                    <a:solidFill>
                      <a:sysClr val="windowText" lastClr="000000"/>
                    </a:solidFill>
                  </a:rPr>
                  <a:pPr>
                    <a:defRPr sz="750">
                      <a:solidFill>
                        <a:schemeClr val="bg1"/>
                      </a:solidFill>
                    </a:defRPr>
                  </a:pPr>
                  <a:t>[ИМЯ КАТЕГОРИИ]</a:t>
                </a:fld>
                <a:r>
                  <a:rPr lang="en-US" baseline="0"/>
                  <a:t>; </a:t>
                </a:r>
                <a:fld id="{3A6A3B4D-A984-4425-BF1C-090DCE6E531A}" type="VALU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750">
                      <a:solidFill>
                        <a:schemeClr val="bg1"/>
                      </a:solidFill>
                    </a:defRPr>
                  </a:pPr>
                  <a:t>[ЗНАЧЕНИЕ]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tables'!$C$45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05-4351-BFF6-8DF6473E3C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05-4351-BFF6-8DF6473E3C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05-4351-BFF6-8DF6473E3CDC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97046413502111"/>
                      <c:h val="0.258726449002791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705-4351-BFF6-8DF6473E3C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9DC42E9-29ED-40B5-9B17-9D21CB6A5EE8}" type="CATEGORYNAM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[ИМЯ КАТЕГОРИИ]</a:t>
                    </a:fld>
                    <a:r>
                      <a:rPr lang="en-US" baseline="0"/>
                      <a:t>; </a:t>
                    </a:r>
                    <a:fld id="{3A6A3B4D-A984-4425-BF1C-090DCE6E531A}" type="VALU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[ЗНАЧЕНИЕ]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705-4351-BFF6-8DF6473E3C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tables'!$B$46:$B$49</c:f>
              <c:strCache>
                <c:ptCount val="3"/>
                <c:pt idx="0">
                  <c:v>Instagram</c:v>
                </c:pt>
                <c:pt idx="1">
                  <c:v>TikTok</c:v>
                </c:pt>
                <c:pt idx="2">
                  <c:v>Both</c:v>
                </c:pt>
              </c:strCache>
            </c:strRef>
          </c:cat>
          <c:val>
            <c:numRef>
              <c:f>'Pivot tables'!$C$46:$C$49</c:f>
              <c:numCache>
                <c:formatCode>0.00%</c:formatCode>
                <c:ptCount val="3"/>
                <c:pt idx="0">
                  <c:v>0.34250000000000003</c:v>
                </c:pt>
                <c:pt idx="1">
                  <c:v>0.33166666666666667</c:v>
                </c:pt>
                <c:pt idx="2">
                  <c:v>0.32583333333333331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05-4351-BFF6-8DF6473E3C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таблица20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tables'!$I$56</c:f>
              <c:strCache>
                <c:ptCount val="1"/>
                <c:pt idx="0">
                  <c:v>Stress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tables'!$H$57:$H$59</c:f>
              <c:strCache>
                <c:ptCount val="2"/>
                <c:pt idx="0">
                  <c:v>Normal</c:v>
                </c:pt>
                <c:pt idx="1">
                  <c:v>Low</c:v>
                </c:pt>
              </c:strCache>
            </c:strRef>
          </c:cat>
          <c:val>
            <c:numRef>
              <c:f>'Pivot tables'!$I$57:$I$59</c:f>
              <c:numCache>
                <c:formatCode>0.00</c:formatCode>
                <c:ptCount val="2"/>
                <c:pt idx="0">
                  <c:v>5.2983193277310923</c:v>
                </c:pt>
                <c:pt idx="1">
                  <c:v>5.4823284823284819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4-4261-AB29-19EFC39685BD}"/>
            </c:ext>
          </c:extLst>
        </c:ser>
        <c:ser>
          <c:idx val="1"/>
          <c:order val="1"/>
          <c:tx>
            <c:strRef>
              <c:f>'Pivot tables'!$J$56</c:f>
              <c:strCache>
                <c:ptCount val="1"/>
                <c:pt idx="0">
                  <c:v>Anxiety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tables'!$H$57:$H$59</c:f>
              <c:strCache>
                <c:ptCount val="2"/>
                <c:pt idx="0">
                  <c:v>Normal</c:v>
                </c:pt>
                <c:pt idx="1">
                  <c:v>Low</c:v>
                </c:pt>
              </c:strCache>
            </c:strRef>
          </c:cat>
          <c:val>
            <c:numRef>
              <c:f>'Pivot tables'!$J$57:$J$59</c:f>
              <c:numCache>
                <c:formatCode>0.00</c:formatCode>
                <c:ptCount val="2"/>
                <c:pt idx="0">
                  <c:v>5.7773109243697478</c:v>
                </c:pt>
                <c:pt idx="1">
                  <c:v>5.6018711018711018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4-4261-AB29-19EFC39685BD}"/>
            </c:ext>
          </c:extLst>
        </c:ser>
        <c:ser>
          <c:idx val="2"/>
          <c:order val="2"/>
          <c:tx>
            <c:strRef>
              <c:f>'Pivot tables'!$K$56</c:f>
              <c:strCache>
                <c:ptCount val="1"/>
                <c:pt idx="0">
                  <c:v>Addiction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tables'!$H$57:$H$59</c:f>
              <c:strCache>
                <c:ptCount val="2"/>
                <c:pt idx="0">
                  <c:v>Normal</c:v>
                </c:pt>
                <c:pt idx="1">
                  <c:v>Low</c:v>
                </c:pt>
              </c:strCache>
            </c:strRef>
          </c:cat>
          <c:val>
            <c:numRef>
              <c:f>'Pivot tables'!$K$57:$K$59</c:f>
              <c:numCache>
                <c:formatCode>0.00</c:formatCode>
                <c:ptCount val="2"/>
                <c:pt idx="0">
                  <c:v>5.3739495798319323</c:v>
                </c:pt>
                <c:pt idx="1">
                  <c:v>5.6122661122661119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04-4261-AB29-19EFC39685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8736608"/>
        <c:axId val="776610224"/>
      </c:barChart>
      <c:catAx>
        <c:axId val="187873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 level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6610224"/>
        <c:crosses val="autoZero"/>
        <c:auto val="1"/>
        <c:lblAlgn val="ctr"/>
        <c:lblOffset val="100"/>
        <c:noMultiLvlLbl val="0"/>
      </c:catAx>
      <c:valAx>
        <c:axId val="7766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873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таблица26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tables'!$E$64</c:f>
              <c:strCache>
                <c:ptCount val="1"/>
                <c:pt idx="0">
                  <c:v>Sleep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tables'!$D$65:$D$67</c:f>
              <c:strCache>
                <c:ptCount val="2"/>
                <c:pt idx="0">
                  <c:v>No depression</c:v>
                </c:pt>
                <c:pt idx="1">
                  <c:v>With depression</c:v>
                </c:pt>
              </c:strCache>
            </c:strRef>
          </c:cat>
          <c:val>
            <c:numRef>
              <c:f>'Pivot tables'!$E$65:$E$67</c:f>
              <c:numCache>
                <c:formatCode>0.00</c:formatCode>
                <c:ptCount val="2"/>
                <c:pt idx="0">
                  <c:v>6.4941830624465373</c:v>
                </c:pt>
                <c:pt idx="1">
                  <c:v>4.7612903225806456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F-48F9-8F92-1D5F08D3446F}"/>
            </c:ext>
          </c:extLst>
        </c:ser>
        <c:ser>
          <c:idx val="1"/>
          <c:order val="1"/>
          <c:tx>
            <c:strRef>
              <c:f>'Pivot tables'!$F$64</c:f>
              <c:strCache>
                <c:ptCount val="1"/>
                <c:pt idx="0">
                  <c:v>Physical activity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tables'!$D$65:$D$67</c:f>
              <c:strCache>
                <c:ptCount val="2"/>
                <c:pt idx="0">
                  <c:v>No depression</c:v>
                </c:pt>
                <c:pt idx="1">
                  <c:v>With depression</c:v>
                </c:pt>
              </c:strCache>
            </c:strRef>
          </c:cat>
          <c:val>
            <c:numRef>
              <c:f>'Pivot tables'!$F$65:$F$67</c:f>
              <c:numCache>
                <c:formatCode>0.00</c:formatCode>
                <c:ptCount val="2"/>
                <c:pt idx="0">
                  <c:v>1.0161676646706597</c:v>
                </c:pt>
                <c:pt idx="1">
                  <c:v>0.95161290322580672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8F-48F9-8F92-1D5F08D34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4"/>
        <c:axId val="516035808"/>
        <c:axId val="516046848"/>
      </c:barChart>
      <c:catAx>
        <c:axId val="5160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046848"/>
        <c:crosses val="autoZero"/>
        <c:auto val="1"/>
        <c:lblAlgn val="ctr"/>
        <c:lblOffset val="100"/>
        <c:noMultiLvlLbl val="0"/>
      </c:catAx>
      <c:valAx>
        <c:axId val="5160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 hours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03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таблица18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tables'!$E$56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2A-4DA6-B4D8-093DEDCC58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2A-4DA6-B4D8-093DEDCC58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tables'!$D$57:$D$59</c:f>
              <c:strCache>
                <c:ptCount val="2"/>
                <c:pt idx="0">
                  <c:v>Low</c:v>
                </c:pt>
                <c:pt idx="1">
                  <c:v>Normal</c:v>
                </c:pt>
              </c:strCache>
            </c:strRef>
          </c:cat>
          <c:val>
            <c:numRef>
              <c:f>'Pivot tables'!$E$57:$E$59</c:f>
              <c:numCache>
                <c:formatCode>0.00%</c:formatCode>
                <c:ptCount val="2"/>
                <c:pt idx="0">
                  <c:v>0.80166666666666664</c:v>
                </c:pt>
                <c:pt idx="1">
                  <c:v>0.19833333333333333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A-4DA6-B4D8-093DEDCC58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таблица27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tables'!$N$56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tables'!$M$57:$M$60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tables'!$N$57:$N$60</c:f>
              <c:numCache>
                <c:formatCode>General</c:formatCode>
                <c:ptCount val="3"/>
                <c:pt idx="0">
                  <c:v>415</c:v>
                </c:pt>
                <c:pt idx="1">
                  <c:v>416</c:v>
                </c:pt>
                <c:pt idx="2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1-4744-95B6-5C36937049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6"/>
        <c:overlap val="-27"/>
        <c:axId val="2018107488"/>
        <c:axId val="2018131008"/>
      </c:barChart>
      <c:catAx>
        <c:axId val="201810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8131008"/>
        <c:crosses val="autoZero"/>
        <c:auto val="1"/>
        <c:lblAlgn val="ctr"/>
        <c:lblOffset val="100"/>
        <c:noMultiLvlLbl val="0"/>
      </c:catAx>
      <c:valAx>
        <c:axId val="2018131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teens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201810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[Teen_Mental_Health.xlsx]Pivot tables!Сводная таблица23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tables'!$I$64</c:f>
              <c:strCache>
                <c:ptCount val="1"/>
                <c:pt idx="0">
                  <c:v>Stress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tables'!$H$65:$H$68</c:f>
              <c:strCache>
                <c:ptCount val="3"/>
                <c:pt idx="0">
                  <c:v>No activity</c:v>
                </c:pt>
                <c:pt idx="1">
                  <c:v>0-1 hours</c:v>
                </c:pt>
                <c:pt idx="2">
                  <c:v>1-2 hours</c:v>
                </c:pt>
              </c:strCache>
            </c:strRef>
          </c:cat>
          <c:val>
            <c:numRef>
              <c:f>'Pivot tables'!$I$65:$I$68</c:f>
              <c:numCache>
                <c:formatCode>0.00</c:formatCode>
                <c:ptCount val="3"/>
                <c:pt idx="0">
                  <c:v>5.0882352941176467</c:v>
                </c:pt>
                <c:pt idx="1">
                  <c:v>5.46815834767642</c:v>
                </c:pt>
                <c:pt idx="2">
                  <c:v>5.4444444444444446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8-457D-BD44-DB02A2E835DD}"/>
            </c:ext>
          </c:extLst>
        </c:ser>
        <c:ser>
          <c:idx val="1"/>
          <c:order val="1"/>
          <c:tx>
            <c:strRef>
              <c:f>'Pivot tables'!$J$64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tables'!$H$65:$H$68</c:f>
              <c:strCache>
                <c:ptCount val="3"/>
                <c:pt idx="0">
                  <c:v>No activity</c:v>
                </c:pt>
                <c:pt idx="1">
                  <c:v>0-1 hours</c:v>
                </c:pt>
                <c:pt idx="2">
                  <c:v>1-2 hours</c:v>
                </c:pt>
              </c:strCache>
            </c:strRef>
          </c:cat>
          <c:val>
            <c:numRef>
              <c:f>'Pivot tables'!$J$65:$J$68</c:f>
              <c:numCache>
                <c:formatCode>0.00</c:formatCode>
                <c:ptCount val="3"/>
                <c:pt idx="0">
                  <c:v>6.1470588235294121</c:v>
                </c:pt>
                <c:pt idx="1">
                  <c:v>5.6385542168674698</c:v>
                </c:pt>
                <c:pt idx="2">
                  <c:v>5.6051282051282048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8-457D-BD44-DB02A2E835DD}"/>
            </c:ext>
          </c:extLst>
        </c:ser>
        <c:ser>
          <c:idx val="2"/>
          <c:order val="2"/>
          <c:tx>
            <c:strRef>
              <c:f>'Pivot tables'!$K$64</c:f>
              <c:strCache>
                <c:ptCount val="1"/>
                <c:pt idx="0">
                  <c:v>Addiction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tables'!$H$65:$H$68</c:f>
              <c:strCache>
                <c:ptCount val="3"/>
                <c:pt idx="0">
                  <c:v>No activity</c:v>
                </c:pt>
                <c:pt idx="1">
                  <c:v>0-1 hours</c:v>
                </c:pt>
                <c:pt idx="2">
                  <c:v>1-2 hours</c:v>
                </c:pt>
              </c:strCache>
            </c:strRef>
          </c:cat>
          <c:val>
            <c:numRef>
              <c:f>'Pivot tables'!$K$65:$K$68</c:f>
              <c:numCache>
                <c:formatCode>0.00</c:formatCode>
                <c:ptCount val="3"/>
                <c:pt idx="0">
                  <c:v>6.0882352941176467</c:v>
                </c:pt>
                <c:pt idx="1">
                  <c:v>5.4956970740103266</c:v>
                </c:pt>
                <c:pt idx="2">
                  <c:v>5.6034188034188031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8-457D-BD44-DB02A2E83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393904"/>
        <c:axId val="2099391984"/>
      </c:lineChart>
      <c:catAx>
        <c:axId val="20993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9391984"/>
        <c:crosses val="autoZero"/>
        <c:auto val="1"/>
        <c:lblAlgn val="ctr"/>
        <c:lblOffset val="100"/>
        <c:noMultiLvlLbl val="0"/>
      </c:catAx>
      <c:valAx>
        <c:axId val="2099391984"/>
        <c:scaling>
          <c:orientation val="minMax"/>
          <c:min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93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1</xdr:rowOff>
    </xdr:from>
    <xdr:to>
      <xdr:col>24</xdr:col>
      <xdr:colOff>0</xdr:colOff>
      <xdr:row>9</xdr:row>
      <xdr:rowOff>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E2614DED-DFAE-5196-4722-CE5DC99CFC3A}"/>
            </a:ext>
          </a:extLst>
        </xdr:cNvPr>
        <xdr:cNvSpPr/>
      </xdr:nvSpPr>
      <xdr:spPr>
        <a:xfrm>
          <a:off x="13011150" y="571501"/>
          <a:ext cx="4267200" cy="11429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200" b="1"/>
            <a:t>Data Cleaning &amp; Preparation</a:t>
          </a:r>
        </a:p>
        <a:p>
          <a:r>
            <a:rPr lang="en-US" sz="1200"/>
            <a:t>✓ Checked for duplicate rows</a:t>
          </a:r>
        </a:p>
        <a:p>
          <a:r>
            <a:rPr lang="en-US" sz="1200"/>
            <a:t>✓ Converted selected columns to numeric format</a:t>
          </a:r>
        </a:p>
        <a:p>
          <a:r>
            <a:rPr lang="en-US" sz="1200"/>
            <a:t>✓ Created 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</a:rPr>
            <a:t>sleep_level</a:t>
          </a:r>
          <a:r>
            <a:rPr lang="en-US" sz="1200"/>
            <a:t>, 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</a:rPr>
            <a:t>activity_brackets</a:t>
          </a:r>
          <a:r>
            <a:rPr lang="en-US" sz="1200"/>
            <a:t>, and 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</a:rPr>
            <a:t>social_media_level</a:t>
          </a:r>
          <a:r>
            <a:rPr lang="en-US" sz="1200"/>
            <a:t> categories using the IF function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918882</xdr:colOff>
      <xdr:row>3</xdr:row>
      <xdr:rowOff>3360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0FB35ECA-9552-2D49-AC57-68684A2F7112}"/>
            </a:ext>
          </a:extLst>
        </xdr:cNvPr>
        <xdr:cNvSpPr/>
      </xdr:nvSpPr>
      <xdr:spPr>
        <a:xfrm>
          <a:off x="851647" y="168088"/>
          <a:ext cx="14702117" cy="3395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solidFill>
                <a:schemeClr val="dk1"/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GENERAL</a:t>
          </a:r>
          <a:r>
            <a:rPr lang="en-US" sz="2000" baseline="0">
              <a:solidFill>
                <a:schemeClr val="dk1"/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 DEMOGRAPHIC ANALYSIS</a:t>
          </a:r>
          <a:endParaRPr lang="ru-RU" sz="2000">
            <a:effectLst/>
            <a:cs typeface="Assistant" pitchFamily="2" charset="-79"/>
          </a:endParaRPr>
        </a:p>
        <a:p>
          <a:pPr algn="ctr"/>
          <a:endParaRPr lang="ru-RU" sz="1100"/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17</xdr:col>
      <xdr:colOff>0</xdr:colOff>
      <xdr:row>29</xdr:row>
      <xdr:rowOff>3361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4FD61EAD-258A-4CC6-BD26-A4BBCF4911D4}"/>
            </a:ext>
          </a:extLst>
        </xdr:cNvPr>
        <xdr:cNvSpPr/>
      </xdr:nvSpPr>
      <xdr:spPr>
        <a:xfrm>
          <a:off x="851647" y="4538382"/>
          <a:ext cx="14702118" cy="33953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solidFill>
                <a:schemeClr val="dk1"/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SOCIAL</a:t>
          </a:r>
          <a:r>
            <a:rPr lang="en-US" sz="2000" baseline="0">
              <a:solidFill>
                <a:schemeClr val="dk1"/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 MEDIA</a:t>
          </a:r>
          <a:r>
            <a:rPr lang="ru-RU" sz="2000" baseline="0">
              <a:solidFill>
                <a:schemeClr val="dk1"/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 </a:t>
          </a:r>
          <a:r>
            <a:rPr lang="en-US" sz="2000" baseline="0">
              <a:solidFill>
                <a:schemeClr val="dk1"/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IMPACT ANALYSYS</a:t>
          </a:r>
          <a:endParaRPr lang="ru-RU" sz="2000">
            <a:effectLst/>
            <a:cs typeface="Assistant" pitchFamily="2" charset="-79"/>
          </a:endParaRPr>
        </a:p>
        <a:p>
          <a:pPr algn="ctr"/>
          <a:endParaRPr lang="ru-RU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17</xdr:col>
      <xdr:colOff>0</xdr:colOff>
      <xdr:row>53</xdr:row>
      <xdr:rowOff>3361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BCE9E30F-41DE-4AA6-A18E-DDC8485632CB}"/>
            </a:ext>
          </a:extLst>
        </xdr:cNvPr>
        <xdr:cNvSpPr/>
      </xdr:nvSpPr>
      <xdr:spPr>
        <a:xfrm>
          <a:off x="851647" y="8807824"/>
          <a:ext cx="14702118" cy="3395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aseline="0">
              <a:solidFill>
                <a:schemeClr val="dk1"/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LIFESTYLE ANALYSYS</a:t>
          </a:r>
          <a:endParaRPr lang="ru-RU" sz="2000">
            <a:effectLst/>
            <a:cs typeface="Assistant" pitchFamily="2" charset="-79"/>
          </a:endParaRPr>
        </a:p>
        <a:p>
          <a:pPr algn="ctr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</xdr:row>
      <xdr:rowOff>0</xdr:rowOff>
    </xdr:from>
    <xdr:to>
      <xdr:col>14</xdr:col>
      <xdr:colOff>604345</xdr:colOff>
      <xdr:row>24</xdr:row>
      <xdr:rowOff>190499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DE183FF7-8E66-A145-F8CA-650F8237D496}"/>
            </a:ext>
          </a:extLst>
        </xdr:cNvPr>
        <xdr:cNvSpPr/>
      </xdr:nvSpPr>
      <xdr:spPr>
        <a:xfrm>
          <a:off x="6138333" y="2857500"/>
          <a:ext cx="3059679" cy="1904999"/>
        </a:xfrm>
        <a:prstGeom prst="roundRect">
          <a:avLst>
            <a:gd name="adj" fmla="val 6125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Stress,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Anxiety, Addiction by Depression Status (0-10)</a:t>
          </a:r>
          <a:endParaRPr lang="en-US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11</xdr:col>
      <xdr:colOff>100853</xdr:colOff>
      <xdr:row>38</xdr:row>
      <xdr:rowOff>0</xdr:rowOff>
    </xdr:to>
    <xdr:sp macro="" textlink="">
      <xdr:nvSpPr>
        <xdr:cNvPr id="15" name="Прямоугольник: скругленные углы 14">
          <a:extLst>
            <a:ext uri="{FF2B5EF4-FFF2-40B4-BE49-F238E27FC236}">
              <a16:creationId xmlns:a16="http://schemas.microsoft.com/office/drawing/2014/main" id="{631F8451-CD07-8BC2-5021-427102AE4679}"/>
            </a:ext>
          </a:extLst>
        </xdr:cNvPr>
        <xdr:cNvSpPr/>
      </xdr:nvSpPr>
      <xdr:spPr>
        <a:xfrm>
          <a:off x="1828800" y="4953000"/>
          <a:ext cx="4977653" cy="2286000"/>
        </a:xfrm>
        <a:prstGeom prst="roundRect">
          <a:avLst>
            <a:gd name="adj" fmla="val 373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Stress,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Anxiety, Addiction</a:t>
          </a:r>
          <a:r>
            <a:rPr lang="ru-RU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by Age (0-10)</a:t>
          </a:r>
        </a:p>
      </xdr:txBody>
    </xdr:sp>
    <xdr:clientData/>
  </xdr:twoCellAnchor>
  <xdr:twoCellAnchor>
    <xdr:from>
      <xdr:col>3</xdr:col>
      <xdr:colOff>919</xdr:colOff>
      <xdr:row>15</xdr:row>
      <xdr:rowOff>0</xdr:rowOff>
    </xdr:from>
    <xdr:to>
      <xdr:col>9</xdr:col>
      <xdr:colOff>419100</xdr:colOff>
      <xdr:row>25</xdr:row>
      <xdr:rowOff>0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EDFC552F-B5C8-FABE-6CE6-5CCD6B3F181A}"/>
            </a:ext>
          </a:extLst>
        </xdr:cNvPr>
        <xdr:cNvSpPr/>
      </xdr:nvSpPr>
      <xdr:spPr>
        <a:xfrm>
          <a:off x="1829719" y="2857500"/>
          <a:ext cx="4075781" cy="1905000"/>
        </a:xfrm>
        <a:prstGeom prst="roundRect">
          <a:avLst>
            <a:gd name="adj" fmla="val 6125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Depression by Age and Gender</a:t>
          </a:r>
        </a:p>
      </xdr:txBody>
    </xdr:sp>
    <xdr:clientData/>
  </xdr:twoCellAnchor>
  <xdr:twoCellAnchor>
    <xdr:from>
      <xdr:col>15</xdr:col>
      <xdr:colOff>190501</xdr:colOff>
      <xdr:row>15</xdr:row>
      <xdr:rowOff>0</xdr:rowOff>
    </xdr:from>
    <xdr:to>
      <xdr:col>19</xdr:col>
      <xdr:colOff>5952</xdr:colOff>
      <xdr:row>25</xdr:row>
      <xdr:rowOff>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76E9128F-A67A-E824-78CF-A84BD699E822}"/>
            </a:ext>
          </a:extLst>
        </xdr:cNvPr>
        <xdr:cNvSpPr/>
      </xdr:nvSpPr>
      <xdr:spPr>
        <a:xfrm>
          <a:off x="9334501" y="2857500"/>
          <a:ext cx="2253851" cy="1905000"/>
        </a:xfrm>
        <a:prstGeom prst="roundRect">
          <a:avLst>
            <a:gd name="adj" fmla="val 4843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Depression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Rate by Gender</a:t>
          </a:r>
          <a:endParaRPr lang="ru-RU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7</xdr:col>
      <xdr:colOff>168087</xdr:colOff>
      <xdr:row>8</xdr:row>
      <xdr:rowOff>0</xdr:rowOff>
    </xdr:from>
    <xdr:to>
      <xdr:col>11</xdr:col>
      <xdr:colOff>1</xdr:colOff>
      <xdr:row>14</xdr:row>
      <xdr:rowOff>14654</xdr:rowOff>
    </xdr:to>
    <xdr:sp macro="" textlink="">
      <xdr:nvSpPr>
        <xdr:cNvPr id="18" name="Прямоугольник: скругленные углы 17">
          <a:extLst>
            <a:ext uri="{FF2B5EF4-FFF2-40B4-BE49-F238E27FC236}">
              <a16:creationId xmlns:a16="http://schemas.microsoft.com/office/drawing/2014/main" id="{38036DBA-9706-C099-1630-7945833DF511}"/>
            </a:ext>
          </a:extLst>
        </xdr:cNvPr>
        <xdr:cNvSpPr/>
      </xdr:nvSpPr>
      <xdr:spPr>
        <a:xfrm>
          <a:off x="3216087" y="1143000"/>
          <a:ext cx="2270314" cy="1157654"/>
        </a:xfrm>
        <a:prstGeom prst="roundRect">
          <a:avLst>
            <a:gd name="adj" fmla="val 928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Age of Depressed Teens</a:t>
          </a:r>
          <a:endParaRPr lang="ru-RU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3</xdr:col>
      <xdr:colOff>0</xdr:colOff>
      <xdr:row>7</xdr:row>
      <xdr:rowOff>175846</xdr:rowOff>
    </xdr:from>
    <xdr:to>
      <xdr:col>7</xdr:col>
      <xdr:colOff>0</xdr:colOff>
      <xdr:row>14</xdr:row>
      <xdr:rowOff>0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1A34AB72-0ACC-4441-8804-2C631DBAF31F}"/>
            </a:ext>
          </a:extLst>
        </xdr:cNvPr>
        <xdr:cNvSpPr/>
      </xdr:nvSpPr>
      <xdr:spPr>
        <a:xfrm>
          <a:off x="612913" y="1128346"/>
          <a:ext cx="2451652" cy="1157654"/>
        </a:xfrm>
        <a:prstGeom prst="roundRect">
          <a:avLst>
            <a:gd name="adj" fmla="val 9287"/>
          </a:avLst>
        </a:prstGeom>
        <a:solidFill>
          <a:srgbClr val="DE8A8A"/>
        </a:solidFill>
        <a:ln>
          <a:noFill/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300">
              <a:solidFill>
                <a:schemeClr val="bg1"/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Depression</a:t>
          </a:r>
          <a:r>
            <a:rPr lang="en-US" sz="1300" baseline="0">
              <a:solidFill>
                <a:schemeClr val="bg1"/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Rate (%)</a:t>
          </a:r>
          <a:endParaRPr lang="ru-RU" sz="1300">
            <a:solidFill>
              <a:schemeClr val="bg1"/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17</xdr:col>
      <xdr:colOff>0</xdr:colOff>
      <xdr:row>7</xdr:row>
      <xdr:rowOff>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F382E6CC-ADB8-631F-AC63-E83664714D6E}"/>
            </a:ext>
          </a:extLst>
        </xdr:cNvPr>
        <xdr:cNvSpPr/>
      </xdr:nvSpPr>
      <xdr:spPr>
        <a:xfrm>
          <a:off x="612913" y="381000"/>
          <a:ext cx="8580783" cy="571500"/>
        </a:xfrm>
        <a:prstGeom prst="roundRect">
          <a:avLst>
            <a:gd name="adj" fmla="val 9287"/>
          </a:avLst>
        </a:prstGeom>
        <a:noFill/>
        <a:ln>
          <a:solidFill>
            <a:schemeClr val="bg1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24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TEEN MENTAL HEALTH &amp; DEMOGRAPHIC ANALYSIS</a:t>
          </a:r>
          <a:endParaRPr lang="ru-RU" sz="2400">
            <a:solidFill>
              <a:schemeClr val="tx2">
                <a:lumMod val="75000"/>
              </a:schemeClr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3</xdr:col>
      <xdr:colOff>14653</xdr:colOff>
      <xdr:row>10</xdr:row>
      <xdr:rowOff>79815</xdr:rowOff>
    </xdr:from>
    <xdr:to>
      <xdr:col>6</xdr:col>
      <xdr:colOff>586155</xdr:colOff>
      <xdr:row>12</xdr:row>
      <xdr:rowOff>135534</xdr:rowOff>
    </xdr:to>
    <xdr:sp macro="" textlink="'Pivot tables'!C8">
      <xdr:nvSpPr>
        <xdr:cNvPr id="8" name="TextBox 7">
          <a:extLst>
            <a:ext uri="{FF2B5EF4-FFF2-40B4-BE49-F238E27FC236}">
              <a16:creationId xmlns:a16="http://schemas.microsoft.com/office/drawing/2014/main" id="{3ACBEDE9-D1EF-63C4-BA9A-4DC8EA605ED5}"/>
            </a:ext>
          </a:extLst>
        </xdr:cNvPr>
        <xdr:cNvSpPr txBox="1"/>
      </xdr:nvSpPr>
      <xdr:spPr>
        <a:xfrm>
          <a:off x="627566" y="1603815"/>
          <a:ext cx="2410241" cy="436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86DC06-B1DE-4B20-A629-8A72896EDD17}" type="TxLink">
            <a:rPr lang="en-US" sz="4000" b="0" i="0" u="none" strike="noStrike">
              <a:solidFill>
                <a:schemeClr val="bg1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algn="ctr"/>
            <a:t>2,58%</a:t>
          </a:fld>
          <a:endParaRPr lang="ru-RU" sz="4000" b="0" i="0" u="none" strike="noStrike">
            <a:solidFill>
              <a:schemeClr val="bg1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>
    <xdr:from>
      <xdr:col>7</xdr:col>
      <xdr:colOff>190065</xdr:colOff>
      <xdr:row>10</xdr:row>
      <xdr:rowOff>110961</xdr:rowOff>
    </xdr:from>
    <xdr:to>
      <xdr:col>11</xdr:col>
      <xdr:colOff>0</xdr:colOff>
      <xdr:row>12</xdr:row>
      <xdr:rowOff>165234</xdr:rowOff>
    </xdr:to>
    <xdr:sp macro="" textlink="'Pivot tables'!C16">
      <xdr:nvSpPr>
        <xdr:cNvPr id="19" name="TextBox 18">
          <a:extLst>
            <a:ext uri="{FF2B5EF4-FFF2-40B4-BE49-F238E27FC236}">
              <a16:creationId xmlns:a16="http://schemas.microsoft.com/office/drawing/2014/main" id="{261D9C65-399E-29D0-9BAF-0688F1C84BAD}"/>
            </a:ext>
          </a:extLst>
        </xdr:cNvPr>
        <xdr:cNvSpPr txBox="1"/>
      </xdr:nvSpPr>
      <xdr:spPr>
        <a:xfrm>
          <a:off x="3238065" y="1634961"/>
          <a:ext cx="2248335" cy="435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D53793A-4559-4677-8591-B693548E9510}" type="TxLink">
            <a:rPr lang="en-US" sz="4000" b="0" i="0" u="none" strike="noStrike">
              <a:solidFill>
                <a:srgbClr val="4472C4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marL="0" indent="0" algn="ctr"/>
            <a:t>16,1</a:t>
          </a:fld>
          <a:endParaRPr lang="ru-RU" sz="4000" b="0" i="0" u="none" strike="noStrike">
            <a:solidFill>
              <a:srgbClr val="4472C4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>
    <xdr:from>
      <xdr:col>15</xdr:col>
      <xdr:colOff>203638</xdr:colOff>
      <xdr:row>16</xdr:row>
      <xdr:rowOff>114046</xdr:rowOff>
    </xdr:from>
    <xdr:to>
      <xdr:col>19</xdr:col>
      <xdr:colOff>16565</xdr:colOff>
      <xdr:row>24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015DE74-B893-4FFF-BABF-161B1D51E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16</xdr:row>
      <xdr:rowOff>161925</xdr:rowOff>
    </xdr:from>
    <xdr:to>
      <xdr:col>9</xdr:col>
      <xdr:colOff>381000</xdr:colOff>
      <xdr:row>24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8F7FAF4-9AC7-41C3-9E3C-BDFE6B373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313765</xdr:colOff>
      <xdr:row>26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4DB81BB6-A43D-4BA1-D77C-D44F59C1A4F0}"/>
            </a:ext>
          </a:extLst>
        </xdr:cNvPr>
        <xdr:cNvSpPr/>
      </xdr:nvSpPr>
      <xdr:spPr>
        <a:xfrm>
          <a:off x="7019365" y="4953000"/>
          <a:ext cx="4563035" cy="2286000"/>
        </a:xfrm>
        <a:prstGeom prst="roundRect">
          <a:avLst>
            <a:gd name="adj" fmla="val 373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Stress,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Anxiety, Addiction by Gender (0-10)</a:t>
          </a:r>
        </a:p>
      </xdr:txBody>
    </xdr:sp>
    <xdr:clientData/>
  </xdr:twoCellAnchor>
  <xdr:twoCellAnchor>
    <xdr:from>
      <xdr:col>11</xdr:col>
      <xdr:colOff>177612</xdr:colOff>
      <xdr:row>8</xdr:row>
      <xdr:rowOff>0</xdr:rowOff>
    </xdr:from>
    <xdr:to>
      <xdr:col>15</xdr:col>
      <xdr:colOff>9526</xdr:colOff>
      <xdr:row>14</xdr:row>
      <xdr:rowOff>14654</xdr:rowOff>
    </xdr:to>
    <xdr:sp macro="" textlink="">
      <xdr:nvSpPr>
        <xdr:cNvPr id="23" name="Прямоугольник: скругленные углы 22">
          <a:extLst>
            <a:ext uri="{FF2B5EF4-FFF2-40B4-BE49-F238E27FC236}">
              <a16:creationId xmlns:a16="http://schemas.microsoft.com/office/drawing/2014/main" id="{0D6CE9D2-32A0-8D46-0947-1C593E9F49DA}"/>
            </a:ext>
          </a:extLst>
        </xdr:cNvPr>
        <xdr:cNvSpPr/>
      </xdr:nvSpPr>
      <xdr:spPr>
        <a:xfrm>
          <a:off x="5664012" y="1143000"/>
          <a:ext cx="2270314" cy="1157654"/>
        </a:xfrm>
        <a:prstGeom prst="roundRect">
          <a:avLst>
            <a:gd name="adj" fmla="val 928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Avg Stress Level (0-10)</a:t>
          </a:r>
          <a:endParaRPr lang="ru-RU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11</xdr:col>
      <xdr:colOff>199590</xdr:colOff>
      <xdr:row>10</xdr:row>
      <xdr:rowOff>110961</xdr:rowOff>
    </xdr:from>
    <xdr:to>
      <xdr:col>15</xdr:col>
      <xdr:colOff>9525</xdr:colOff>
      <xdr:row>12</xdr:row>
      <xdr:rowOff>165234</xdr:rowOff>
    </xdr:to>
    <xdr:sp macro="" textlink="'Pivot tables'!B20">
      <xdr:nvSpPr>
        <xdr:cNvPr id="24" name="TextBox 23">
          <a:extLst>
            <a:ext uri="{FF2B5EF4-FFF2-40B4-BE49-F238E27FC236}">
              <a16:creationId xmlns:a16="http://schemas.microsoft.com/office/drawing/2014/main" id="{7941D48B-994F-B45D-DD30-2E3AFD1CB735}"/>
            </a:ext>
          </a:extLst>
        </xdr:cNvPr>
        <xdr:cNvSpPr txBox="1"/>
      </xdr:nvSpPr>
      <xdr:spPr>
        <a:xfrm>
          <a:off x="5685990" y="1634961"/>
          <a:ext cx="2248335" cy="435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4F942CF-557D-4D78-B191-099C40E3AEE8}" type="TxLink">
            <a:rPr lang="en-US" sz="4000" b="0" i="0" u="none" strike="noStrike">
              <a:solidFill>
                <a:srgbClr val="4472C4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marL="0" indent="0" algn="ctr"/>
            <a:t>5,45</a:t>
          </a:fld>
          <a:endParaRPr lang="ru-RU" sz="4000" b="0" i="0" u="none" strike="noStrike">
            <a:solidFill>
              <a:srgbClr val="4472C4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>
    <xdr:from>
      <xdr:col>15</xdr:col>
      <xdr:colOff>196662</xdr:colOff>
      <xdr:row>8</xdr:row>
      <xdr:rowOff>0</xdr:rowOff>
    </xdr:from>
    <xdr:to>
      <xdr:col>19</xdr:col>
      <xdr:colOff>0</xdr:colOff>
      <xdr:row>14</xdr:row>
      <xdr:rowOff>14654</xdr:rowOff>
    </xdr:to>
    <xdr:sp macro="" textlink="">
      <xdr:nvSpPr>
        <xdr:cNvPr id="25" name="Прямоугольник: скругленные углы 24">
          <a:extLst>
            <a:ext uri="{FF2B5EF4-FFF2-40B4-BE49-F238E27FC236}">
              <a16:creationId xmlns:a16="http://schemas.microsoft.com/office/drawing/2014/main" id="{72233524-BFED-DE8F-D361-B02D8FBDA2C2}"/>
            </a:ext>
          </a:extLst>
        </xdr:cNvPr>
        <xdr:cNvSpPr/>
      </xdr:nvSpPr>
      <xdr:spPr>
        <a:xfrm>
          <a:off x="8121462" y="1143000"/>
          <a:ext cx="2241738" cy="1157654"/>
        </a:xfrm>
        <a:prstGeom prst="roundRect">
          <a:avLst>
            <a:gd name="adj" fmla="val 928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Avg Anxiety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Level (0-10)</a:t>
          </a:r>
          <a:endParaRPr lang="ru-RU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15</xdr:col>
      <xdr:colOff>218640</xdr:colOff>
      <xdr:row>10</xdr:row>
      <xdr:rowOff>110961</xdr:rowOff>
    </xdr:from>
    <xdr:to>
      <xdr:col>19</xdr:col>
      <xdr:colOff>28575</xdr:colOff>
      <xdr:row>12</xdr:row>
      <xdr:rowOff>165234</xdr:rowOff>
    </xdr:to>
    <xdr:sp macro="" textlink="'Pivot tables'!B24">
      <xdr:nvSpPr>
        <xdr:cNvPr id="26" name="TextBox 25">
          <a:extLst>
            <a:ext uri="{FF2B5EF4-FFF2-40B4-BE49-F238E27FC236}">
              <a16:creationId xmlns:a16="http://schemas.microsoft.com/office/drawing/2014/main" id="{E32AC137-99F3-BC01-837C-1BD90BC27D0C}"/>
            </a:ext>
          </a:extLst>
        </xdr:cNvPr>
        <xdr:cNvSpPr txBox="1"/>
      </xdr:nvSpPr>
      <xdr:spPr>
        <a:xfrm>
          <a:off x="8085169" y="1634961"/>
          <a:ext cx="2230406" cy="435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18B7CED-0B7D-4273-BE3F-ACDD777E9868}" type="TxLink">
            <a:rPr lang="en-US" sz="4000" b="0" i="0" u="none" strike="noStrike">
              <a:solidFill>
                <a:srgbClr val="4472C4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marL="0" indent="0" algn="ctr"/>
            <a:t>5,64</a:t>
          </a:fld>
          <a:endParaRPr lang="ru-RU" sz="4000" b="0" i="0" u="none" strike="noStrike">
            <a:solidFill>
              <a:srgbClr val="4472C4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 editAs="oneCell">
    <xdr:from>
      <xdr:col>19</xdr:col>
      <xdr:colOff>258857</xdr:colOff>
      <xdr:row>8</xdr:row>
      <xdr:rowOff>29134</xdr:rowOff>
    </xdr:from>
    <xdr:to>
      <xdr:col>22</xdr:col>
      <xdr:colOff>0</xdr:colOff>
      <xdr:row>20</xdr:row>
      <xdr:rowOff>100854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ge">
              <a:extLst>
                <a:ext uri="{FF2B5EF4-FFF2-40B4-BE49-F238E27FC236}">
                  <a16:creationId xmlns:a16="http://schemas.microsoft.com/office/drawing/2014/main" id="{E1DB20D1-C60D-CF94-7CCA-BCAE1BE363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6092" y="1553134"/>
              <a:ext cx="1556496" cy="2357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267821</xdr:colOff>
      <xdr:row>22</xdr:row>
      <xdr:rowOff>6724</xdr:rowOff>
    </xdr:from>
    <xdr:to>
      <xdr:col>22</xdr:col>
      <xdr:colOff>0</xdr:colOff>
      <xdr:row>28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73A99857-C191-4B35-ECE4-404A9C2AD2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5056" y="4197724"/>
              <a:ext cx="1547532" cy="1136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</xdr:col>
      <xdr:colOff>609599</xdr:colOff>
      <xdr:row>28</xdr:row>
      <xdr:rowOff>0</xdr:rowOff>
    </xdr:from>
    <xdr:to>
      <xdr:col>11</xdr:col>
      <xdr:colOff>57150</xdr:colOff>
      <xdr:row>38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483ADB7-5F86-4498-B3F5-D85898C2B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314325</xdr:colOff>
      <xdr:row>27</xdr:row>
      <xdr:rowOff>142874</xdr:rowOff>
    </xdr:from>
    <xdr:to>
      <xdr:col>18</xdr:col>
      <xdr:colOff>600075</xdr:colOff>
      <xdr:row>37</xdr:row>
      <xdr:rowOff>190499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FA31A75B-6B49-42B9-92CB-3021446F8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18</xdr:row>
      <xdr:rowOff>9525</xdr:rowOff>
    </xdr:from>
    <xdr:to>
      <xdr:col>15</xdr:col>
      <xdr:colOff>8282</xdr:colOff>
      <xdr:row>25</xdr:row>
      <xdr:rowOff>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43293384-96C1-49D0-AD64-AFB7B365D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168086</xdr:colOff>
      <xdr:row>8</xdr:row>
      <xdr:rowOff>0</xdr:rowOff>
    </xdr:from>
    <xdr:to>
      <xdr:col>13</xdr:col>
      <xdr:colOff>609599</xdr:colOff>
      <xdr:row>17</xdr:row>
      <xdr:rowOff>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BFFEC246-07A2-4CF7-9299-778729C2A218}"/>
            </a:ext>
          </a:extLst>
        </xdr:cNvPr>
        <xdr:cNvSpPr/>
      </xdr:nvSpPr>
      <xdr:spPr>
        <a:xfrm>
          <a:off x="3825686" y="1524000"/>
          <a:ext cx="4708713" cy="1714500"/>
        </a:xfrm>
        <a:prstGeom prst="roundRect">
          <a:avLst>
            <a:gd name="adj" fmla="val 428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Social Media Usage and Depression</a:t>
          </a:r>
          <a:endParaRPr lang="ru-RU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320DD72A-D779-43E5-BFC2-A335C9F1945E}"/>
            </a:ext>
          </a:extLst>
        </xdr:cNvPr>
        <xdr:cNvSpPr/>
      </xdr:nvSpPr>
      <xdr:spPr>
        <a:xfrm>
          <a:off x="1210235" y="2857500"/>
          <a:ext cx="2420471" cy="4381500"/>
        </a:xfrm>
        <a:prstGeom prst="roundRect">
          <a:avLst>
            <a:gd name="adj" fmla="val 373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Social Media Usage Level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Among Teens</a:t>
          </a:r>
        </a:p>
      </xdr:txBody>
    </xdr:sp>
    <xdr:clientData/>
  </xdr:twoCellAnchor>
  <xdr:twoCellAnchor>
    <xdr:from>
      <xdr:col>6</xdr:col>
      <xdr:colOff>180975</xdr:colOff>
      <xdr:row>18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5EE9E6A6-B9A8-4A6B-929A-65D50E2151E5}"/>
            </a:ext>
          </a:extLst>
        </xdr:cNvPr>
        <xdr:cNvSpPr/>
      </xdr:nvSpPr>
      <xdr:spPr>
        <a:xfrm>
          <a:off x="3838575" y="3429000"/>
          <a:ext cx="7134225" cy="1333500"/>
        </a:xfrm>
        <a:prstGeom prst="roundRect">
          <a:avLst>
            <a:gd name="adj" fmla="val 6125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Social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Media Time by Age</a:t>
          </a:r>
          <a:endParaRPr lang="en-US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14</xdr:col>
      <xdr:colOff>180976</xdr:colOff>
      <xdr:row>8</xdr:row>
      <xdr:rowOff>0</xdr:rowOff>
    </xdr:from>
    <xdr:to>
      <xdr:col>18</xdr:col>
      <xdr:colOff>0</xdr:colOff>
      <xdr:row>17</xdr:row>
      <xdr:rowOff>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E9CCED3F-45A9-469A-8B06-0E62FB7EB7DF}"/>
            </a:ext>
          </a:extLst>
        </xdr:cNvPr>
        <xdr:cNvSpPr/>
      </xdr:nvSpPr>
      <xdr:spPr>
        <a:xfrm>
          <a:off x="8715376" y="1524000"/>
          <a:ext cx="2257424" cy="1714500"/>
        </a:xfrm>
        <a:prstGeom prst="roundRect">
          <a:avLst>
            <a:gd name="adj" fmla="val 3999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Platforms Usage (%)</a:t>
          </a:r>
          <a:endParaRPr lang="ru-RU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2</xdr:col>
      <xdr:colOff>0</xdr:colOff>
      <xdr:row>7</xdr:row>
      <xdr:rowOff>175846</xdr:rowOff>
    </xdr:from>
    <xdr:to>
      <xdr:col>6</xdr:col>
      <xdr:colOff>0</xdr:colOff>
      <xdr:row>14</xdr:row>
      <xdr:rowOff>0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FDD0BF16-58B4-447C-9A21-428B6E6F904A}"/>
            </a:ext>
          </a:extLst>
        </xdr:cNvPr>
        <xdr:cNvSpPr/>
      </xdr:nvSpPr>
      <xdr:spPr>
        <a:xfrm>
          <a:off x="1219200" y="1509346"/>
          <a:ext cx="2438400" cy="1157654"/>
        </a:xfrm>
        <a:prstGeom prst="roundRect">
          <a:avLst>
            <a:gd name="adj" fmla="val 9287"/>
          </a:avLst>
        </a:prstGeom>
        <a:solidFill>
          <a:srgbClr val="4472C4"/>
        </a:solidFill>
        <a:ln>
          <a:noFill/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300">
              <a:solidFill>
                <a:schemeClr val="bg1"/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Avg</a:t>
          </a:r>
          <a:r>
            <a:rPr lang="en-US" sz="1300" baseline="0">
              <a:solidFill>
                <a:schemeClr val="bg1"/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Social Media Hours</a:t>
          </a:r>
          <a:endParaRPr lang="ru-RU" sz="1300">
            <a:solidFill>
              <a:schemeClr val="bg1"/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16</xdr:col>
      <xdr:colOff>0</xdr:colOff>
      <xdr:row>7</xdr:row>
      <xdr:rowOff>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B2A859D3-A7C6-4CFF-9337-BF175CB62B9D}"/>
            </a:ext>
          </a:extLst>
        </xdr:cNvPr>
        <xdr:cNvSpPr/>
      </xdr:nvSpPr>
      <xdr:spPr>
        <a:xfrm>
          <a:off x="1219200" y="762000"/>
          <a:ext cx="8534400" cy="571500"/>
        </a:xfrm>
        <a:prstGeom prst="roundRect">
          <a:avLst>
            <a:gd name="adj" fmla="val 9287"/>
          </a:avLst>
        </a:prstGeom>
        <a:noFill/>
        <a:ln>
          <a:solidFill>
            <a:schemeClr val="bg1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US" sz="2400">
              <a:solidFill>
                <a:schemeClr val="tx2">
                  <a:lumMod val="75000"/>
                </a:schemeClr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SOCIAL</a:t>
          </a:r>
          <a:r>
            <a:rPr lang="en-US" sz="2400" baseline="0">
              <a:solidFill>
                <a:schemeClr val="tx2">
                  <a:lumMod val="75000"/>
                </a:schemeClr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 MEDIA &amp; TEEN MENTAL HEALTH</a:t>
          </a:r>
          <a:endParaRPr lang="ru-RU" sz="2400">
            <a:solidFill>
              <a:schemeClr val="tx2">
                <a:lumMod val="75000"/>
              </a:schemeClr>
            </a:solidFill>
            <a:effectLst/>
            <a:cs typeface="Assistant" pitchFamily="2" charset="-79"/>
          </a:endParaRPr>
        </a:p>
      </xdr:txBody>
    </xdr:sp>
    <xdr:clientData/>
  </xdr:twoCellAnchor>
  <xdr:twoCellAnchor>
    <xdr:from>
      <xdr:col>2</xdr:col>
      <xdr:colOff>14653</xdr:colOff>
      <xdr:row>10</xdr:row>
      <xdr:rowOff>79815</xdr:rowOff>
    </xdr:from>
    <xdr:to>
      <xdr:col>5</xdr:col>
      <xdr:colOff>586155</xdr:colOff>
      <xdr:row>12</xdr:row>
      <xdr:rowOff>135534</xdr:rowOff>
    </xdr:to>
    <xdr:sp macro="" textlink="'Pivot tables'!B32">
      <xdr:nvSpPr>
        <xdr:cNvPr id="8" name="TextBox 7">
          <a:extLst>
            <a:ext uri="{FF2B5EF4-FFF2-40B4-BE49-F238E27FC236}">
              <a16:creationId xmlns:a16="http://schemas.microsoft.com/office/drawing/2014/main" id="{7EA75AC9-C25C-42E4-8B70-C6836590FEBA}"/>
            </a:ext>
          </a:extLst>
        </xdr:cNvPr>
        <xdr:cNvSpPr txBox="1"/>
      </xdr:nvSpPr>
      <xdr:spPr>
        <a:xfrm>
          <a:off x="1233853" y="1984815"/>
          <a:ext cx="2400302" cy="436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E765D0A-AA9E-461F-BBA1-FB10DFCAEC12}" type="TxLink">
            <a:rPr lang="en-US" sz="4000" b="0" i="0" u="none" strike="noStrike">
              <a:solidFill>
                <a:schemeClr val="bg1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marL="0" indent="0" algn="ctr"/>
            <a:t>4,54</a:t>
          </a:fld>
          <a:endParaRPr lang="ru-RU" sz="4000" b="0" i="0" u="none" strike="noStrike">
            <a:solidFill>
              <a:schemeClr val="bg1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>
    <xdr:from>
      <xdr:col>6</xdr:col>
      <xdr:colOff>168089</xdr:colOff>
      <xdr:row>26</xdr:row>
      <xdr:rowOff>0</xdr:rowOff>
    </xdr:from>
    <xdr:to>
      <xdr:col>18</xdr:col>
      <xdr:colOff>0</xdr:colOff>
      <xdr:row>38</xdr:row>
      <xdr:rowOff>0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682945CE-4434-4B7E-BBC0-7E6FB965B378}"/>
            </a:ext>
          </a:extLst>
        </xdr:cNvPr>
        <xdr:cNvSpPr/>
      </xdr:nvSpPr>
      <xdr:spPr>
        <a:xfrm>
          <a:off x="3825689" y="4953000"/>
          <a:ext cx="7147111" cy="2286000"/>
        </a:xfrm>
        <a:prstGeom prst="roundRect">
          <a:avLst>
            <a:gd name="adj" fmla="val 373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Stress,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Anxiety, Addiction by Social Media Usage Time</a:t>
          </a:r>
        </a:p>
      </xdr:txBody>
    </xdr:sp>
    <xdr:clientData/>
  </xdr:twoCellAnchor>
  <xdr:twoCellAnchor>
    <xdr:from>
      <xdr:col>6</xdr:col>
      <xdr:colOff>304800</xdr:colOff>
      <xdr:row>10</xdr:row>
      <xdr:rowOff>9525</xdr:rowOff>
    </xdr:from>
    <xdr:to>
      <xdr:col>14</xdr:col>
      <xdr:colOff>0</xdr:colOff>
      <xdr:row>17</xdr:row>
      <xdr:rowOff>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A70D6D17-0A3A-4F4A-8CA6-F3F564F92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142874</xdr:colOff>
      <xdr:row>19</xdr:row>
      <xdr:rowOff>161925</xdr:rowOff>
    </xdr:from>
    <xdr:to>
      <xdr:col>18</xdr:col>
      <xdr:colOff>0</xdr:colOff>
      <xdr:row>25</xdr:row>
      <xdr:rowOff>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9342E950-CFD3-49FE-B5DA-203452037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209551</xdr:colOff>
      <xdr:row>27</xdr:row>
      <xdr:rowOff>171450</xdr:rowOff>
    </xdr:from>
    <xdr:to>
      <xdr:col>18</xdr:col>
      <xdr:colOff>1</xdr:colOff>
      <xdr:row>38</xdr:row>
      <xdr:rowOff>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93C526BC-8C2E-4090-80BA-ABE1348ED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</xdr:colOff>
      <xdr:row>17</xdr:row>
      <xdr:rowOff>161925</xdr:rowOff>
    </xdr:from>
    <xdr:to>
      <xdr:col>6</xdr:col>
      <xdr:colOff>0</xdr:colOff>
      <xdr:row>37</xdr:row>
      <xdr:rowOff>190499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2B60148A-A4A8-4C0A-A1EE-FD3391321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180975</xdr:colOff>
      <xdr:row>9</xdr:row>
      <xdr:rowOff>28575</xdr:rowOff>
    </xdr:from>
    <xdr:to>
      <xdr:col>18</xdr:col>
      <xdr:colOff>0</xdr:colOff>
      <xdr:row>17</xdr:row>
      <xdr:rowOff>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D3D755F1-8019-47A4-959B-9185AFF9C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258857</xdr:colOff>
      <xdr:row>8</xdr:row>
      <xdr:rowOff>0</xdr:rowOff>
    </xdr:from>
    <xdr:to>
      <xdr:col>21</xdr:col>
      <xdr:colOff>0</xdr:colOff>
      <xdr:row>20</xdr:row>
      <xdr:rowOff>71720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age 1">
              <a:extLst>
                <a:ext uri="{FF2B5EF4-FFF2-40B4-BE49-F238E27FC236}">
                  <a16:creationId xmlns:a16="http://schemas.microsoft.com/office/drawing/2014/main" id="{2DDAEB73-0C44-4B00-8263-139AF930C1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1657" y="1524000"/>
              <a:ext cx="1569943" cy="2357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258857</xdr:colOff>
      <xdr:row>21</xdr:row>
      <xdr:rowOff>85725</xdr:rowOff>
    </xdr:from>
    <xdr:to>
      <xdr:col>20</xdr:col>
      <xdr:colOff>600636</xdr:colOff>
      <xdr:row>27</xdr:row>
      <xdr:rowOff>79001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gender 1">
              <a:extLst>
                <a:ext uri="{FF2B5EF4-FFF2-40B4-BE49-F238E27FC236}">
                  <a16:creationId xmlns:a16="http://schemas.microsoft.com/office/drawing/2014/main" id="{1D5E573D-CB95-46A8-8EDE-75DB9000C9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1657" y="4086225"/>
              <a:ext cx="1560979" cy="1136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166800</xdr:colOff>
      <xdr:row>7</xdr:row>
      <xdr:rowOff>175845</xdr:rowOff>
    </xdr:from>
    <xdr:to>
      <xdr:col>18</xdr:col>
      <xdr:colOff>0</xdr:colOff>
      <xdr:row>19</xdr:row>
      <xdr:rowOff>47624</xdr:rowOff>
    </xdr:to>
    <xdr:sp macro="" textlink="">
      <xdr:nvSpPr>
        <xdr:cNvPr id="26" name="Прямоугольник: скругленные углы 25">
          <a:extLst>
            <a:ext uri="{FF2B5EF4-FFF2-40B4-BE49-F238E27FC236}">
              <a16:creationId xmlns:a16="http://schemas.microsoft.com/office/drawing/2014/main" id="{9B9E0175-76FE-798C-AF05-685CF065F163}"/>
            </a:ext>
          </a:extLst>
        </xdr:cNvPr>
        <xdr:cNvSpPr/>
      </xdr:nvSpPr>
      <xdr:spPr>
        <a:xfrm>
          <a:off x="8747583" y="1509345"/>
          <a:ext cx="2284852" cy="2157779"/>
        </a:xfrm>
        <a:prstGeom prst="roundRect">
          <a:avLst>
            <a:gd name="adj" fmla="val 3913"/>
          </a:avLst>
        </a:prstGeom>
        <a:solidFill>
          <a:sysClr val="window" lastClr="FFFFFF"/>
        </a:solidFill>
        <a:ln>
          <a:noFill/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Sleep Quality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(Normal vs Low)</a:t>
          </a:r>
          <a:endParaRPr lang="ru-RU" sz="1100">
            <a:solidFill>
              <a:schemeClr val="tx2">
                <a:lumMod val="75000"/>
              </a:schemeClr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F0641552-49EC-45CC-87D5-9C7E37EFBACF}"/>
            </a:ext>
          </a:extLst>
        </xdr:cNvPr>
        <xdr:cNvSpPr/>
      </xdr:nvSpPr>
      <xdr:spPr>
        <a:xfrm>
          <a:off x="1225826" y="2857500"/>
          <a:ext cx="2451652" cy="4381500"/>
        </a:xfrm>
        <a:prstGeom prst="roundRect">
          <a:avLst>
            <a:gd name="adj" fmla="val 373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Depression vs Sleep  Duration and Physical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A</a:t>
          </a:r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ctivity</a:t>
          </a:r>
          <a:endParaRPr lang="en-US" sz="1100" baseline="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6</xdr:col>
      <xdr:colOff>165653</xdr:colOff>
      <xdr:row>15</xdr:row>
      <xdr:rowOff>0</xdr:rowOff>
    </xdr:from>
    <xdr:to>
      <xdr:col>14</xdr:col>
      <xdr:colOff>0</xdr:colOff>
      <xdr:row>25</xdr:row>
      <xdr:rowOff>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B19DDB53-B3B3-4311-BAFF-DACE4F482385}"/>
            </a:ext>
          </a:extLst>
        </xdr:cNvPr>
        <xdr:cNvSpPr/>
      </xdr:nvSpPr>
      <xdr:spPr>
        <a:xfrm>
          <a:off x="3843131" y="2857500"/>
          <a:ext cx="4737652" cy="1905000"/>
        </a:xfrm>
        <a:prstGeom prst="roundRect">
          <a:avLst>
            <a:gd name="adj" fmla="val 6125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marL="0" indent="0"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Stress,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Anxiety, Addiction by Sleep Level</a:t>
          </a:r>
          <a:endParaRPr lang="en-US" sz="1100">
            <a:solidFill>
              <a:schemeClr val="tx2">
                <a:lumMod val="75000"/>
              </a:schemeClr>
            </a:solidFill>
            <a:latin typeface="Assistant" pitchFamily="2" charset="-79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2</xdr:col>
      <xdr:colOff>0</xdr:colOff>
      <xdr:row>7</xdr:row>
      <xdr:rowOff>175846</xdr:rowOff>
    </xdr:from>
    <xdr:to>
      <xdr:col>6</xdr:col>
      <xdr:colOff>0</xdr:colOff>
      <xdr:row>14</xdr:row>
      <xdr:rowOff>0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263C0A65-EC88-4015-B88E-B8E083724AC6}"/>
            </a:ext>
          </a:extLst>
        </xdr:cNvPr>
        <xdr:cNvSpPr/>
      </xdr:nvSpPr>
      <xdr:spPr>
        <a:xfrm>
          <a:off x="1219200" y="1509346"/>
          <a:ext cx="2438400" cy="1157654"/>
        </a:xfrm>
        <a:prstGeom prst="roundRect">
          <a:avLst>
            <a:gd name="adj" fmla="val 9287"/>
          </a:avLst>
        </a:prstGeom>
        <a:solidFill>
          <a:srgbClr val="4472C4"/>
        </a:solidFill>
        <a:ln>
          <a:noFill/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300">
              <a:solidFill>
                <a:schemeClr val="bg1"/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</a:t>
          </a:r>
          <a:r>
            <a:rPr lang="en-US" sz="1300" baseline="0">
              <a:solidFill>
                <a:schemeClr val="bg1"/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leep Hours</a:t>
          </a:r>
          <a:endParaRPr lang="ru-RU" sz="1300">
            <a:solidFill>
              <a:schemeClr val="bg1"/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16</xdr:col>
      <xdr:colOff>0</xdr:colOff>
      <xdr:row>7</xdr:row>
      <xdr:rowOff>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20AFD48F-A46E-450F-BFB8-EBF6FDFB6CC9}"/>
            </a:ext>
          </a:extLst>
        </xdr:cNvPr>
        <xdr:cNvSpPr/>
      </xdr:nvSpPr>
      <xdr:spPr>
        <a:xfrm>
          <a:off x="1219200" y="762000"/>
          <a:ext cx="8534400" cy="571500"/>
        </a:xfrm>
        <a:prstGeom prst="roundRect">
          <a:avLst>
            <a:gd name="adj" fmla="val 9287"/>
          </a:avLst>
        </a:prstGeom>
        <a:noFill/>
        <a:ln>
          <a:solidFill>
            <a:schemeClr val="bg1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US" sz="2400">
              <a:solidFill>
                <a:schemeClr val="tx2">
                  <a:lumMod val="75000"/>
                </a:schemeClr>
              </a:solidFill>
              <a:effectLst/>
              <a:latin typeface="Assistant" pitchFamily="2" charset="-79"/>
              <a:ea typeface="+mn-ea"/>
              <a:cs typeface="Assistant" pitchFamily="2" charset="-79"/>
            </a:rPr>
            <a:t>TEEN MENTAL HEALTH &amp; LIFESTYLE</a:t>
          </a:r>
          <a:endParaRPr lang="ru-RU" sz="2400">
            <a:solidFill>
              <a:schemeClr val="tx2">
                <a:lumMod val="75000"/>
              </a:schemeClr>
            </a:solidFill>
            <a:effectLst/>
            <a:cs typeface="Assistant" pitchFamily="2" charset="-79"/>
          </a:endParaRPr>
        </a:p>
      </xdr:txBody>
    </xdr:sp>
    <xdr:clientData/>
  </xdr:twoCellAnchor>
  <xdr:twoCellAnchor>
    <xdr:from>
      <xdr:col>2</xdr:col>
      <xdr:colOff>14653</xdr:colOff>
      <xdr:row>10</xdr:row>
      <xdr:rowOff>79815</xdr:rowOff>
    </xdr:from>
    <xdr:to>
      <xdr:col>5</xdr:col>
      <xdr:colOff>586155</xdr:colOff>
      <xdr:row>12</xdr:row>
      <xdr:rowOff>135534</xdr:rowOff>
    </xdr:to>
    <xdr:sp macro="" textlink="'Pivot tables'!B56">
      <xdr:nvSpPr>
        <xdr:cNvPr id="8" name="TextBox 7">
          <a:extLst>
            <a:ext uri="{FF2B5EF4-FFF2-40B4-BE49-F238E27FC236}">
              <a16:creationId xmlns:a16="http://schemas.microsoft.com/office/drawing/2014/main" id="{B848EC29-BAA8-48C1-9ACF-E953FE880088}"/>
            </a:ext>
          </a:extLst>
        </xdr:cNvPr>
        <xdr:cNvSpPr txBox="1"/>
      </xdr:nvSpPr>
      <xdr:spPr>
        <a:xfrm>
          <a:off x="1233853" y="1984815"/>
          <a:ext cx="2400302" cy="436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DF92F28-4C56-4AAF-A065-D6AF4AEBD137}" type="TxLink">
            <a:rPr lang="en-US" sz="4000" b="0" i="0" u="none" strike="noStrike">
              <a:solidFill>
                <a:schemeClr val="bg1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marL="0" indent="0" algn="ctr"/>
            <a:t>6,45</a:t>
          </a:fld>
          <a:endParaRPr lang="ru-RU" sz="4000" b="0" i="0" u="none" strike="noStrike">
            <a:solidFill>
              <a:schemeClr val="bg1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>
    <xdr:from>
      <xdr:col>6</xdr:col>
      <xdr:colOff>168089</xdr:colOff>
      <xdr:row>26</xdr:row>
      <xdr:rowOff>0</xdr:rowOff>
    </xdr:from>
    <xdr:to>
      <xdr:col>14</xdr:col>
      <xdr:colOff>0</xdr:colOff>
      <xdr:row>38</xdr:row>
      <xdr:rowOff>0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88782453-4798-462A-A879-048B01B1EB3E}"/>
            </a:ext>
          </a:extLst>
        </xdr:cNvPr>
        <xdr:cNvSpPr/>
      </xdr:nvSpPr>
      <xdr:spPr>
        <a:xfrm>
          <a:off x="3845567" y="4953000"/>
          <a:ext cx="4735216" cy="2286000"/>
        </a:xfrm>
        <a:prstGeom prst="roundRect">
          <a:avLst>
            <a:gd name="adj" fmla="val 3737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Average Stress, Anxiety, Addiction by Physical Activity Time</a:t>
          </a:r>
        </a:p>
      </xdr:txBody>
    </xdr:sp>
    <xdr:clientData/>
  </xdr:twoCellAnchor>
  <xdr:twoCellAnchor editAs="oneCell">
    <xdr:from>
      <xdr:col>18</xdr:col>
      <xdr:colOff>258857</xdr:colOff>
      <xdr:row>8</xdr:row>
      <xdr:rowOff>0</xdr:rowOff>
    </xdr:from>
    <xdr:to>
      <xdr:col>21</xdr:col>
      <xdr:colOff>0</xdr:colOff>
      <xdr:row>20</xdr:row>
      <xdr:rowOff>71720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ge 2">
              <a:extLst>
                <a:ext uri="{FF2B5EF4-FFF2-40B4-BE49-F238E27FC236}">
                  <a16:creationId xmlns:a16="http://schemas.microsoft.com/office/drawing/2014/main" id="{3678FD6C-3F88-440F-8FA7-176E8336B0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1657" y="1524000"/>
              <a:ext cx="1569943" cy="2357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258857</xdr:colOff>
      <xdr:row>21</xdr:row>
      <xdr:rowOff>85725</xdr:rowOff>
    </xdr:from>
    <xdr:to>
      <xdr:col>20</xdr:col>
      <xdr:colOff>600636</xdr:colOff>
      <xdr:row>27</xdr:row>
      <xdr:rowOff>79001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gender 2">
              <a:extLst>
                <a:ext uri="{FF2B5EF4-FFF2-40B4-BE49-F238E27FC236}">
                  <a16:creationId xmlns:a16="http://schemas.microsoft.com/office/drawing/2014/main" id="{0D161674-D326-4CD4-BEBD-5C33CE3D09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1657" y="4086225"/>
              <a:ext cx="1560979" cy="1136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6</xdr:col>
      <xdr:colOff>161925</xdr:colOff>
      <xdr:row>7</xdr:row>
      <xdr:rowOff>175846</xdr:rowOff>
    </xdr:from>
    <xdr:to>
      <xdr:col>9</xdr:col>
      <xdr:colOff>604725</xdr:colOff>
      <xdr:row>14</xdr:row>
      <xdr:rowOff>0</xdr:rowOff>
    </xdr:to>
    <xdr:sp macro="" textlink="">
      <xdr:nvSpPr>
        <xdr:cNvPr id="18" name="Прямоугольник: скругленные углы 17">
          <a:extLst>
            <a:ext uri="{FF2B5EF4-FFF2-40B4-BE49-F238E27FC236}">
              <a16:creationId xmlns:a16="http://schemas.microsoft.com/office/drawing/2014/main" id="{AC91B2C0-1F5E-33F4-1756-466DEDF0F907}"/>
            </a:ext>
          </a:extLst>
        </xdr:cNvPr>
        <xdr:cNvSpPr/>
      </xdr:nvSpPr>
      <xdr:spPr>
        <a:xfrm>
          <a:off x="3819525" y="1509346"/>
          <a:ext cx="2271600" cy="1157654"/>
        </a:xfrm>
        <a:prstGeom prst="roundRect">
          <a:avLst>
            <a:gd name="adj" fmla="val 9287"/>
          </a:avLst>
        </a:prstGeom>
        <a:solidFill>
          <a:sysClr val="window" lastClr="FFFFFF"/>
        </a:solidFill>
        <a:ln>
          <a:noFill/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Avg Physical Activity Hours</a:t>
          </a:r>
          <a:endParaRPr lang="ru-RU" sz="1100">
            <a:solidFill>
              <a:schemeClr val="tx2">
                <a:lumMod val="75000"/>
              </a:schemeClr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6</xdr:col>
      <xdr:colOff>176578</xdr:colOff>
      <xdr:row>10</xdr:row>
      <xdr:rowOff>79815</xdr:rowOff>
    </xdr:from>
    <xdr:to>
      <xdr:col>9</xdr:col>
      <xdr:colOff>581025</xdr:colOff>
      <xdr:row>12</xdr:row>
      <xdr:rowOff>135534</xdr:rowOff>
    </xdr:to>
    <xdr:sp macro="" textlink="'Pivot tables'!B61">
      <xdr:nvSpPr>
        <xdr:cNvPr id="19" name="TextBox 18">
          <a:extLst>
            <a:ext uri="{FF2B5EF4-FFF2-40B4-BE49-F238E27FC236}">
              <a16:creationId xmlns:a16="http://schemas.microsoft.com/office/drawing/2014/main" id="{581B72A8-1CAA-4AE5-E898-224616F55A1A}"/>
            </a:ext>
          </a:extLst>
        </xdr:cNvPr>
        <xdr:cNvSpPr txBox="1"/>
      </xdr:nvSpPr>
      <xdr:spPr>
        <a:xfrm>
          <a:off x="3834178" y="1984815"/>
          <a:ext cx="2233247" cy="436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F1534A5-87BC-41A3-943A-B9B718417A32}" type="TxLink">
            <a:rPr lang="en-US" sz="4000" b="0" i="0" u="none" strike="noStrike">
              <a:solidFill>
                <a:srgbClr val="4472C4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marL="0" indent="0" algn="ctr"/>
            <a:t>1,01</a:t>
          </a:fld>
          <a:endParaRPr lang="ru-RU" sz="4000" b="0" i="0" u="none" strike="noStrike">
            <a:solidFill>
              <a:srgbClr val="4472C4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>
    <xdr:from>
      <xdr:col>10</xdr:col>
      <xdr:colOff>142875</xdr:colOff>
      <xdr:row>7</xdr:row>
      <xdr:rowOff>175846</xdr:rowOff>
    </xdr:from>
    <xdr:to>
      <xdr:col>14</xdr:col>
      <xdr:colOff>0</xdr:colOff>
      <xdr:row>14</xdr:row>
      <xdr:rowOff>0</xdr:rowOff>
    </xdr:to>
    <xdr:sp macro="" textlink="">
      <xdr:nvSpPr>
        <xdr:cNvPr id="21" name="Прямоугольник: скругленные углы 20">
          <a:extLst>
            <a:ext uri="{FF2B5EF4-FFF2-40B4-BE49-F238E27FC236}">
              <a16:creationId xmlns:a16="http://schemas.microsoft.com/office/drawing/2014/main" id="{1E86609C-AC55-E5C1-E00A-55E94F69666F}"/>
            </a:ext>
          </a:extLst>
        </xdr:cNvPr>
        <xdr:cNvSpPr/>
      </xdr:nvSpPr>
      <xdr:spPr>
        <a:xfrm>
          <a:off x="6272005" y="1509346"/>
          <a:ext cx="2308778" cy="1157654"/>
        </a:xfrm>
        <a:prstGeom prst="roundRect">
          <a:avLst>
            <a:gd name="adj" fmla="val 9287"/>
          </a:avLst>
        </a:prstGeom>
        <a:solidFill>
          <a:sysClr val="window" lastClr="FFFFFF"/>
        </a:solidFill>
        <a:ln>
          <a:noFill/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Avg Screen</a:t>
          </a:r>
          <a:r>
            <a:rPr lang="en-US" sz="1100" baseline="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 Time Before Sleep</a:t>
          </a:r>
          <a:endParaRPr lang="ru-RU" sz="1100">
            <a:solidFill>
              <a:schemeClr val="tx2">
                <a:lumMod val="75000"/>
              </a:schemeClr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10</xdr:col>
      <xdr:colOff>142875</xdr:colOff>
      <xdr:row>10</xdr:row>
      <xdr:rowOff>79815</xdr:rowOff>
    </xdr:from>
    <xdr:to>
      <xdr:col>13</xdr:col>
      <xdr:colOff>552450</xdr:colOff>
      <xdr:row>12</xdr:row>
      <xdr:rowOff>135534</xdr:rowOff>
    </xdr:to>
    <xdr:sp macro="" textlink="'Pivot tables'!B66">
      <xdr:nvSpPr>
        <xdr:cNvPr id="22" name="TextBox 21">
          <a:extLst>
            <a:ext uri="{FF2B5EF4-FFF2-40B4-BE49-F238E27FC236}">
              <a16:creationId xmlns:a16="http://schemas.microsoft.com/office/drawing/2014/main" id="{44CDB953-ED46-8479-F438-17D9F739CBB9}"/>
            </a:ext>
          </a:extLst>
        </xdr:cNvPr>
        <xdr:cNvSpPr txBox="1"/>
      </xdr:nvSpPr>
      <xdr:spPr>
        <a:xfrm>
          <a:off x="6238875" y="1984815"/>
          <a:ext cx="2238375" cy="436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71055F7-6FCA-4A51-A2B7-362CB878FA04}" type="TxLink">
            <a:rPr lang="en-US" sz="4000" b="0" i="0" u="none" strike="noStrike">
              <a:solidFill>
                <a:srgbClr val="4472C4"/>
              </a:solidFill>
              <a:latin typeface="Bahnschrift" panose="020B0502040204020203" pitchFamily="34" charset="0"/>
              <a:ea typeface="Calibri"/>
              <a:cs typeface="Assistant" pitchFamily="2" charset="-79"/>
            </a:rPr>
            <a:pPr marL="0" indent="0" algn="ctr"/>
            <a:t>1,74</a:t>
          </a:fld>
          <a:endParaRPr lang="ru-RU" sz="4000" b="0" i="0" u="none" strike="noStrike">
            <a:solidFill>
              <a:srgbClr val="4472C4"/>
            </a:solidFill>
            <a:latin typeface="Bahnschrift" panose="020B0502040204020203" pitchFamily="34" charset="0"/>
            <a:ea typeface="Calibri"/>
            <a:cs typeface="Assistant" pitchFamily="2" charset="-79"/>
          </a:endParaRPr>
        </a:p>
      </xdr:txBody>
    </xdr:sp>
    <xdr:clientData/>
  </xdr:twoCellAnchor>
  <xdr:twoCellAnchor>
    <xdr:from>
      <xdr:col>6</xdr:col>
      <xdr:colOff>157370</xdr:colOff>
      <xdr:row>16</xdr:row>
      <xdr:rowOff>141218</xdr:rowOff>
    </xdr:from>
    <xdr:to>
      <xdr:col>14</xdr:col>
      <xdr:colOff>16565</xdr:colOff>
      <xdr:row>25</xdr:row>
      <xdr:rowOff>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64DD7068-24AB-4FC1-A3BD-CA506ACA3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8283</xdr:colOff>
      <xdr:row>18</xdr:row>
      <xdr:rowOff>124239</xdr:rowOff>
    </xdr:from>
    <xdr:to>
      <xdr:col>6</xdr:col>
      <xdr:colOff>8283</xdr:colOff>
      <xdr:row>38</xdr:row>
      <xdr:rowOff>16565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26A1E8-B8A6-4227-9E21-C0B9F93C0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183932</xdr:colOff>
      <xdr:row>20</xdr:row>
      <xdr:rowOff>32845</xdr:rowOff>
    </xdr:from>
    <xdr:to>
      <xdr:col>17</xdr:col>
      <xdr:colOff>609599</xdr:colOff>
      <xdr:row>37</xdr:row>
      <xdr:rowOff>190499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D28C5EC2-2A59-59AC-97CC-FC0D6C98F98F}"/>
            </a:ext>
          </a:extLst>
        </xdr:cNvPr>
        <xdr:cNvSpPr/>
      </xdr:nvSpPr>
      <xdr:spPr>
        <a:xfrm>
          <a:off x="8736725" y="3842845"/>
          <a:ext cx="2258408" cy="3396154"/>
        </a:xfrm>
        <a:prstGeom prst="roundRect">
          <a:avLst>
            <a:gd name="adj" fmla="val 3913"/>
          </a:avLst>
        </a:prstGeom>
        <a:solidFill>
          <a:sysClr val="window" lastClr="FFFFFF"/>
        </a:solidFill>
        <a:ln>
          <a:noFill/>
        </a:ln>
        <a:effectLst>
          <a:outerShdw blurRad="215900" dist="50800" dir="2700000" algn="tl" rotWithShape="0">
            <a:schemeClr val="accent1">
              <a:lumMod val="50000"/>
              <a:alpha val="15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144000" tIns="36000" rIns="108000" rtlCol="0" anchor="t" anchorCtr="0"/>
        <a:lstStyle/>
        <a:p>
          <a:pPr algn="l"/>
          <a:r>
            <a:rPr lang="en-US" sz="1100">
              <a:solidFill>
                <a:schemeClr val="tx2">
                  <a:lumMod val="75000"/>
                </a:schemeClr>
              </a:solidFill>
              <a:latin typeface="Assistant" pitchFamily="2" charset="-79"/>
              <a:ea typeface="Roboto Slab Thin" pitchFamily="2" charset="0"/>
              <a:cs typeface="Assistant" pitchFamily="2" charset="-79"/>
            </a:rPr>
            <a:t>Social Interaction Levels</a:t>
          </a:r>
          <a:endParaRPr lang="ru-RU" sz="1100">
            <a:solidFill>
              <a:schemeClr val="tx2">
                <a:lumMod val="75000"/>
              </a:schemeClr>
            </a:solidFill>
            <a:latin typeface="Bahnschrift" panose="020B0502040204020203" pitchFamily="34" charset="0"/>
            <a:ea typeface="Roboto Slab Thin" pitchFamily="2" charset="0"/>
            <a:cs typeface="Assistant" pitchFamily="2" charset="-79"/>
          </a:endParaRPr>
        </a:p>
      </xdr:txBody>
    </xdr:sp>
    <xdr:clientData/>
  </xdr:twoCellAnchor>
  <xdr:twoCellAnchor>
    <xdr:from>
      <xdr:col>14</xdr:col>
      <xdr:colOff>173933</xdr:colOff>
      <xdr:row>9</xdr:row>
      <xdr:rowOff>157370</xdr:rowOff>
    </xdr:from>
    <xdr:to>
      <xdr:col>18</xdr:col>
      <xdr:colOff>0</xdr:colOff>
      <xdr:row>19</xdr:row>
      <xdr:rowOff>16565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3A20FE05-AEE8-4208-8579-B83AAAEF4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190499</xdr:colOff>
      <xdr:row>22</xdr:row>
      <xdr:rowOff>66674</xdr:rowOff>
    </xdr:from>
    <xdr:to>
      <xdr:col>17</xdr:col>
      <xdr:colOff>610913</xdr:colOff>
      <xdr:row>37</xdr:row>
      <xdr:rowOff>190499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CF6BCAA7-BB38-4D93-A6E9-409233430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161925</xdr:colOff>
      <xdr:row>27</xdr:row>
      <xdr:rowOff>76200</xdr:rowOff>
    </xdr:from>
    <xdr:to>
      <xdr:col>14</xdr:col>
      <xdr:colOff>0</xdr:colOff>
      <xdr:row>38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64E1FDB-677C-47D6-964F-026D0A6FD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атолий Куцбах" refreshedDate="46168.912313773151" createdVersion="8" refreshedVersion="8" minRefreshableVersion="3" recordCount="1200" xr:uid="{BC5F2F84-CF88-4412-98B1-342879FEC4A9}">
  <cacheSource type="worksheet">
    <worksheetSource name="Teen_Mental_Health_Dataset__22"/>
  </cacheSource>
  <cacheFields count="16">
    <cacheField name="age" numFmtId="0">
      <sharedItems containsSemiMixedTypes="0" containsString="0" containsNumber="1" containsInteger="1" minValue="13" maxValue="19" count="7">
        <n v="14"/>
        <n v="19"/>
        <n v="17"/>
        <n v="15"/>
        <n v="18"/>
        <n v="16"/>
        <n v="13"/>
      </sharedItems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 count="71">
        <n v="7.9"/>
        <n v="1.9"/>
        <n v="1.3"/>
        <n v="7.4"/>
        <n v="4.7"/>
        <n v="2.5"/>
        <n v="4"/>
        <n v="3.3"/>
        <n v="7.2"/>
        <n v="4.9000000000000004"/>
        <n v="6.2"/>
        <n v="6.8"/>
        <n v="5.7"/>
        <n v="3.6"/>
        <n v="1.5"/>
        <n v="3.1"/>
        <n v="6.7"/>
        <n v="1.2"/>
        <n v="3.4"/>
        <n v="4.0999999999999996"/>
        <n v="5.3"/>
        <n v="2.2999999999999998"/>
        <n v="2.4"/>
        <n v="2"/>
        <n v="6.6"/>
        <n v="1.6"/>
        <n v="2.7"/>
        <n v="5"/>
        <n v="4.5999999999999996"/>
        <n v="4.8"/>
        <n v="6.3"/>
        <n v="6.4"/>
        <n v="7.3"/>
        <n v="5.2"/>
        <n v="4.5"/>
        <n v="3.5"/>
        <n v="2.9"/>
        <n v="5.8"/>
        <n v="7.1"/>
        <n v="4.3"/>
        <n v="3.9"/>
        <n v="7.5"/>
        <n v="6.9"/>
        <n v="1.1000000000000001"/>
        <n v="2.6"/>
        <n v="5.4"/>
        <n v="5.6"/>
        <n v="1.8"/>
        <n v="8"/>
        <n v="5.0999999999999996"/>
        <n v="3.2"/>
        <n v="7.7"/>
        <n v="6.5"/>
        <n v="7.8"/>
        <n v="6"/>
        <n v="3.8"/>
        <n v="2.1"/>
        <n v="4.4000000000000004"/>
        <n v="3"/>
        <n v="7"/>
        <n v="7.6"/>
        <n v="6.1"/>
        <n v="5.9"/>
        <n v="1.4"/>
        <n v="4.2"/>
        <n v="1.7"/>
        <n v="2.8"/>
        <n v="2.2000000000000002"/>
        <n v="3.7"/>
        <n v="5.5"/>
        <n v="1"/>
      </sharedItems>
    </cacheField>
    <cacheField name="social_media_level" numFmtId="0">
      <sharedItems count="3">
        <s v="High"/>
        <s v="Low"/>
        <s v="Medium"/>
      </sharedItems>
    </cacheField>
    <cacheField name="platform_usage" numFmtId="0">
      <sharedItems count="3">
        <s v="Instagram"/>
        <s v="TikTok"/>
        <s v="Both"/>
      </sharedItems>
    </cacheField>
    <cacheField name="sleep_hours" numFmtId="0">
      <sharedItems containsSemiMixedTypes="0" containsString="0" containsNumber="1" minValue="4" maxValue="9"/>
    </cacheField>
    <cacheField name="sleep_level" numFmtId="0">
      <sharedItems count="2">
        <s v="Low"/>
        <s v="Normal"/>
      </sharedItems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/>
    </cacheField>
    <cacheField name="physical_activity" numFmtId="164">
      <sharedItems containsSemiMixedTypes="0" containsString="0" containsNumber="1" minValue="0" maxValue="2"/>
    </cacheField>
    <cacheField name="activity_brackets" numFmtId="0">
      <sharedItems count="3">
        <s v="1-2 hours"/>
        <s v="0-1 hours"/>
        <s v="No activity"/>
      </sharedItems>
    </cacheField>
    <cacheField name="social_interaction_level" numFmtId="0">
      <sharedItems count="3">
        <s v="low"/>
        <s v="high"/>
        <s v="medium"/>
      </sharedItems>
    </cacheField>
    <cacheField name="stress_level" numFmtId="0">
      <sharedItems containsSemiMixedTypes="0" containsString="0" containsNumber="1" containsInteger="1" minValue="1" maxValue="10" count="10">
        <n v="2"/>
        <n v="8"/>
        <n v="1"/>
        <n v="3"/>
        <n v="6"/>
        <n v="5"/>
        <n v="4"/>
        <n v="10"/>
        <n v="9"/>
        <n v="7"/>
      </sharedItems>
    </cacheField>
    <cacheField name="anxiety_level" numFmtId="0">
      <sharedItems containsSemiMixedTypes="0" containsString="0" containsNumber="1" containsInteger="1" minValue="1" maxValue="10"/>
    </cacheField>
    <cacheField name="addiction_level" numFmtId="0">
      <sharedItems containsSemiMixedTypes="0" containsString="0" containsNumber="1" containsInteger="1" minValue="1" maxValue="10"/>
    </cacheField>
    <cacheField name="depression" numFmtId="0">
      <sharedItems containsMixedTypes="1" containsNumber="1" containsInteger="1" minValue="0" maxValue="1" count="4">
        <n v="0"/>
        <n v="1"/>
        <s v="No" u="1"/>
        <s v="Yes" u="1"/>
      </sharedItems>
    </cacheField>
  </cacheFields>
  <extLst>
    <ext xmlns:x14="http://schemas.microsoft.com/office/spreadsheetml/2009/9/main" uri="{725AE2AE-9491-48be-B2B4-4EB974FC3084}">
      <x14:pivotCacheDefinition pivotCacheId="4614864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n v="7.4"/>
    <x v="0"/>
    <n v="2.9"/>
    <n v="3.01"/>
    <n v="1.5"/>
    <x v="0"/>
    <x v="0"/>
    <x v="0"/>
    <n v="2"/>
    <n v="1"/>
    <x v="0"/>
  </r>
  <r>
    <x v="1"/>
    <x v="1"/>
    <x v="1"/>
    <x v="1"/>
    <x v="1"/>
    <n v="8"/>
    <x v="1"/>
    <n v="2.9"/>
    <n v="3.22"/>
    <n v="0.8"/>
    <x v="1"/>
    <x v="1"/>
    <x v="1"/>
    <n v="1"/>
    <n v="10"/>
    <x v="0"/>
  </r>
  <r>
    <x v="2"/>
    <x v="1"/>
    <x v="2"/>
    <x v="1"/>
    <x v="0"/>
    <n v="7.6"/>
    <x v="0"/>
    <n v="0.5"/>
    <n v="3.92"/>
    <n v="0"/>
    <x v="2"/>
    <x v="1"/>
    <x v="0"/>
    <n v="4"/>
    <n v="2"/>
    <x v="0"/>
  </r>
  <r>
    <x v="3"/>
    <x v="0"/>
    <x v="3"/>
    <x v="0"/>
    <x v="1"/>
    <n v="6.9"/>
    <x v="0"/>
    <n v="1.6"/>
    <n v="3.48"/>
    <n v="0.8"/>
    <x v="1"/>
    <x v="2"/>
    <x v="2"/>
    <n v="7"/>
    <n v="9"/>
    <x v="0"/>
  </r>
  <r>
    <x v="3"/>
    <x v="1"/>
    <x v="4"/>
    <x v="2"/>
    <x v="2"/>
    <n v="4.9000000000000004"/>
    <x v="0"/>
    <n v="3"/>
    <n v="2.37"/>
    <n v="1.4"/>
    <x v="0"/>
    <x v="2"/>
    <x v="3"/>
    <n v="5"/>
    <n v="2"/>
    <x v="0"/>
  </r>
  <r>
    <x v="1"/>
    <x v="1"/>
    <x v="3"/>
    <x v="0"/>
    <x v="2"/>
    <n v="4.4000000000000004"/>
    <x v="0"/>
    <n v="2.4"/>
    <n v="2.63"/>
    <n v="0.6"/>
    <x v="1"/>
    <x v="1"/>
    <x v="3"/>
    <n v="5"/>
    <n v="7"/>
    <x v="0"/>
  </r>
  <r>
    <x v="4"/>
    <x v="1"/>
    <x v="5"/>
    <x v="2"/>
    <x v="0"/>
    <n v="6.4"/>
    <x v="0"/>
    <n v="2.4"/>
    <n v="2.63"/>
    <n v="0.7"/>
    <x v="1"/>
    <x v="0"/>
    <x v="0"/>
    <n v="2"/>
    <n v="5"/>
    <x v="0"/>
  </r>
  <r>
    <x v="5"/>
    <x v="0"/>
    <x v="6"/>
    <x v="2"/>
    <x v="2"/>
    <n v="4.2"/>
    <x v="0"/>
    <n v="0.5"/>
    <n v="2.4"/>
    <n v="1.3"/>
    <x v="0"/>
    <x v="0"/>
    <x v="4"/>
    <n v="10"/>
    <n v="5"/>
    <x v="0"/>
  </r>
  <r>
    <x v="1"/>
    <x v="1"/>
    <x v="7"/>
    <x v="2"/>
    <x v="1"/>
    <n v="5"/>
    <x v="0"/>
    <n v="2.1"/>
    <n v="2.04"/>
    <n v="0.9"/>
    <x v="1"/>
    <x v="1"/>
    <x v="2"/>
    <n v="10"/>
    <n v="9"/>
    <x v="0"/>
  </r>
  <r>
    <x v="3"/>
    <x v="0"/>
    <x v="1"/>
    <x v="1"/>
    <x v="1"/>
    <n v="4.9000000000000004"/>
    <x v="0"/>
    <n v="1.5"/>
    <n v="3.77"/>
    <n v="1.1000000000000001"/>
    <x v="0"/>
    <x v="1"/>
    <x v="2"/>
    <n v="1"/>
    <n v="4"/>
    <x v="0"/>
  </r>
  <r>
    <x v="5"/>
    <x v="0"/>
    <x v="8"/>
    <x v="0"/>
    <x v="2"/>
    <n v="5.8"/>
    <x v="0"/>
    <n v="2.9"/>
    <n v="3.16"/>
    <n v="1.2"/>
    <x v="0"/>
    <x v="2"/>
    <x v="5"/>
    <n v="8"/>
    <n v="9"/>
    <x v="0"/>
  </r>
  <r>
    <x v="6"/>
    <x v="0"/>
    <x v="9"/>
    <x v="2"/>
    <x v="0"/>
    <n v="4.7"/>
    <x v="0"/>
    <n v="2.5"/>
    <n v="3.92"/>
    <n v="1.2"/>
    <x v="0"/>
    <x v="0"/>
    <x v="2"/>
    <n v="10"/>
    <n v="8"/>
    <x v="0"/>
  </r>
  <r>
    <x v="5"/>
    <x v="0"/>
    <x v="10"/>
    <x v="2"/>
    <x v="2"/>
    <n v="7.2"/>
    <x v="0"/>
    <n v="2.6"/>
    <n v="2.02"/>
    <n v="1.7"/>
    <x v="0"/>
    <x v="2"/>
    <x v="5"/>
    <n v="7"/>
    <n v="6"/>
    <x v="0"/>
  </r>
  <r>
    <x v="2"/>
    <x v="1"/>
    <x v="11"/>
    <x v="2"/>
    <x v="1"/>
    <n v="5.7"/>
    <x v="0"/>
    <n v="1.1000000000000001"/>
    <n v="3.29"/>
    <n v="1.3"/>
    <x v="0"/>
    <x v="2"/>
    <x v="2"/>
    <n v="10"/>
    <n v="10"/>
    <x v="0"/>
  </r>
  <r>
    <x v="3"/>
    <x v="0"/>
    <x v="12"/>
    <x v="2"/>
    <x v="1"/>
    <n v="5.9"/>
    <x v="0"/>
    <n v="0.8"/>
    <n v="3.5"/>
    <n v="0.7"/>
    <x v="1"/>
    <x v="0"/>
    <x v="2"/>
    <n v="9"/>
    <n v="1"/>
    <x v="0"/>
  </r>
  <r>
    <x v="0"/>
    <x v="1"/>
    <x v="13"/>
    <x v="2"/>
    <x v="2"/>
    <n v="5.3"/>
    <x v="0"/>
    <n v="0.6"/>
    <n v="2.99"/>
    <n v="0.3"/>
    <x v="1"/>
    <x v="1"/>
    <x v="6"/>
    <n v="10"/>
    <n v="2"/>
    <x v="0"/>
  </r>
  <r>
    <x v="6"/>
    <x v="0"/>
    <x v="14"/>
    <x v="1"/>
    <x v="2"/>
    <n v="4.2"/>
    <x v="0"/>
    <n v="1.4"/>
    <n v="2.59"/>
    <n v="0.5"/>
    <x v="1"/>
    <x v="1"/>
    <x v="6"/>
    <n v="5"/>
    <n v="8"/>
    <x v="0"/>
  </r>
  <r>
    <x v="5"/>
    <x v="0"/>
    <x v="15"/>
    <x v="2"/>
    <x v="2"/>
    <n v="6.1"/>
    <x v="0"/>
    <n v="0.8"/>
    <n v="2.11"/>
    <n v="1.9"/>
    <x v="0"/>
    <x v="1"/>
    <x v="7"/>
    <n v="7"/>
    <n v="10"/>
    <x v="0"/>
  </r>
  <r>
    <x v="5"/>
    <x v="1"/>
    <x v="16"/>
    <x v="2"/>
    <x v="2"/>
    <n v="6.8"/>
    <x v="0"/>
    <n v="1.9"/>
    <n v="3.08"/>
    <n v="1.4"/>
    <x v="0"/>
    <x v="1"/>
    <x v="7"/>
    <n v="9"/>
    <n v="1"/>
    <x v="0"/>
  </r>
  <r>
    <x v="0"/>
    <x v="1"/>
    <x v="17"/>
    <x v="1"/>
    <x v="0"/>
    <n v="7.6"/>
    <x v="0"/>
    <n v="1"/>
    <n v="3.85"/>
    <n v="0.8"/>
    <x v="1"/>
    <x v="1"/>
    <x v="1"/>
    <n v="4"/>
    <n v="6"/>
    <x v="0"/>
  </r>
  <r>
    <x v="5"/>
    <x v="0"/>
    <x v="18"/>
    <x v="2"/>
    <x v="1"/>
    <n v="4.5999999999999996"/>
    <x v="0"/>
    <n v="2.1"/>
    <n v="2.2400000000000002"/>
    <n v="0.4"/>
    <x v="1"/>
    <x v="1"/>
    <x v="6"/>
    <n v="1"/>
    <n v="3"/>
    <x v="0"/>
  </r>
  <r>
    <x v="4"/>
    <x v="0"/>
    <x v="19"/>
    <x v="2"/>
    <x v="2"/>
    <n v="7.4"/>
    <x v="0"/>
    <n v="2.4"/>
    <n v="2.38"/>
    <n v="1.5"/>
    <x v="0"/>
    <x v="2"/>
    <x v="1"/>
    <n v="4"/>
    <n v="9"/>
    <x v="0"/>
  </r>
  <r>
    <x v="4"/>
    <x v="0"/>
    <x v="20"/>
    <x v="2"/>
    <x v="0"/>
    <n v="4.9000000000000004"/>
    <x v="0"/>
    <n v="1.2"/>
    <n v="3.69"/>
    <n v="1.2"/>
    <x v="0"/>
    <x v="0"/>
    <x v="5"/>
    <n v="4"/>
    <n v="5"/>
    <x v="0"/>
  </r>
  <r>
    <x v="4"/>
    <x v="1"/>
    <x v="21"/>
    <x v="2"/>
    <x v="1"/>
    <n v="7.6"/>
    <x v="0"/>
    <n v="0.5"/>
    <n v="2.96"/>
    <n v="1.7"/>
    <x v="0"/>
    <x v="2"/>
    <x v="8"/>
    <n v="8"/>
    <n v="7"/>
    <x v="0"/>
  </r>
  <r>
    <x v="4"/>
    <x v="1"/>
    <x v="22"/>
    <x v="2"/>
    <x v="2"/>
    <n v="6.7"/>
    <x v="0"/>
    <n v="1.9"/>
    <n v="2.5299999999999998"/>
    <n v="0.4"/>
    <x v="1"/>
    <x v="1"/>
    <x v="1"/>
    <n v="8"/>
    <n v="2"/>
    <x v="0"/>
  </r>
  <r>
    <x v="6"/>
    <x v="1"/>
    <x v="14"/>
    <x v="1"/>
    <x v="2"/>
    <n v="7.2"/>
    <x v="0"/>
    <n v="2.5"/>
    <n v="2.15"/>
    <n v="1.3"/>
    <x v="0"/>
    <x v="2"/>
    <x v="6"/>
    <n v="6"/>
    <n v="2"/>
    <x v="0"/>
  </r>
  <r>
    <x v="0"/>
    <x v="1"/>
    <x v="12"/>
    <x v="2"/>
    <x v="2"/>
    <n v="8.6999999999999993"/>
    <x v="1"/>
    <n v="0.6"/>
    <n v="2.64"/>
    <n v="0.1"/>
    <x v="1"/>
    <x v="0"/>
    <x v="1"/>
    <n v="9"/>
    <n v="4"/>
    <x v="0"/>
  </r>
  <r>
    <x v="1"/>
    <x v="0"/>
    <x v="23"/>
    <x v="2"/>
    <x v="1"/>
    <n v="7.1"/>
    <x v="0"/>
    <n v="0.9"/>
    <n v="3.26"/>
    <n v="1.6"/>
    <x v="0"/>
    <x v="1"/>
    <x v="9"/>
    <n v="5"/>
    <n v="9"/>
    <x v="0"/>
  </r>
  <r>
    <x v="0"/>
    <x v="0"/>
    <x v="5"/>
    <x v="2"/>
    <x v="1"/>
    <n v="5.6"/>
    <x v="0"/>
    <n v="2.9"/>
    <n v="2.2400000000000002"/>
    <n v="0.5"/>
    <x v="1"/>
    <x v="0"/>
    <x v="3"/>
    <n v="9"/>
    <n v="5"/>
    <x v="0"/>
  </r>
  <r>
    <x v="5"/>
    <x v="1"/>
    <x v="18"/>
    <x v="2"/>
    <x v="1"/>
    <n v="7.8"/>
    <x v="0"/>
    <n v="2.8"/>
    <n v="3.83"/>
    <n v="1.8"/>
    <x v="0"/>
    <x v="2"/>
    <x v="4"/>
    <n v="6"/>
    <n v="4"/>
    <x v="0"/>
  </r>
  <r>
    <x v="6"/>
    <x v="0"/>
    <x v="24"/>
    <x v="2"/>
    <x v="1"/>
    <n v="5.7"/>
    <x v="0"/>
    <n v="2.5"/>
    <n v="2.67"/>
    <n v="1.1000000000000001"/>
    <x v="0"/>
    <x v="0"/>
    <x v="0"/>
    <n v="1"/>
    <n v="10"/>
    <x v="0"/>
  </r>
  <r>
    <x v="6"/>
    <x v="1"/>
    <x v="25"/>
    <x v="1"/>
    <x v="0"/>
    <n v="8.6999999999999993"/>
    <x v="1"/>
    <n v="2.5"/>
    <n v="3.69"/>
    <n v="0.4"/>
    <x v="1"/>
    <x v="1"/>
    <x v="1"/>
    <n v="2"/>
    <n v="9"/>
    <x v="0"/>
  </r>
  <r>
    <x v="5"/>
    <x v="0"/>
    <x v="26"/>
    <x v="2"/>
    <x v="0"/>
    <n v="4.2"/>
    <x v="0"/>
    <n v="2.4"/>
    <n v="3.05"/>
    <n v="0.2"/>
    <x v="1"/>
    <x v="1"/>
    <x v="2"/>
    <n v="8"/>
    <n v="4"/>
    <x v="0"/>
  </r>
  <r>
    <x v="0"/>
    <x v="0"/>
    <x v="19"/>
    <x v="2"/>
    <x v="1"/>
    <n v="8"/>
    <x v="1"/>
    <n v="3"/>
    <n v="2.31"/>
    <n v="0.8"/>
    <x v="1"/>
    <x v="0"/>
    <x v="1"/>
    <n v="4"/>
    <n v="1"/>
    <x v="0"/>
  </r>
  <r>
    <x v="6"/>
    <x v="1"/>
    <x v="24"/>
    <x v="2"/>
    <x v="1"/>
    <n v="7.3"/>
    <x v="0"/>
    <n v="1.6"/>
    <n v="3.27"/>
    <n v="0.1"/>
    <x v="1"/>
    <x v="2"/>
    <x v="7"/>
    <n v="2"/>
    <n v="1"/>
    <x v="0"/>
  </r>
  <r>
    <x v="2"/>
    <x v="1"/>
    <x v="27"/>
    <x v="2"/>
    <x v="2"/>
    <n v="4.9000000000000004"/>
    <x v="0"/>
    <n v="2.1"/>
    <n v="2.0099999999999998"/>
    <n v="1"/>
    <x v="1"/>
    <x v="0"/>
    <x v="8"/>
    <n v="4"/>
    <n v="9"/>
    <x v="0"/>
  </r>
  <r>
    <x v="1"/>
    <x v="1"/>
    <x v="28"/>
    <x v="2"/>
    <x v="0"/>
    <n v="5.5"/>
    <x v="0"/>
    <n v="2.5"/>
    <n v="3.96"/>
    <n v="0.8"/>
    <x v="1"/>
    <x v="1"/>
    <x v="3"/>
    <n v="10"/>
    <n v="7"/>
    <x v="0"/>
  </r>
  <r>
    <x v="2"/>
    <x v="1"/>
    <x v="29"/>
    <x v="2"/>
    <x v="0"/>
    <n v="4.4000000000000004"/>
    <x v="0"/>
    <n v="1.3"/>
    <n v="2.02"/>
    <n v="0.5"/>
    <x v="1"/>
    <x v="0"/>
    <x v="5"/>
    <n v="10"/>
    <n v="6"/>
    <x v="0"/>
  </r>
  <r>
    <x v="2"/>
    <x v="1"/>
    <x v="2"/>
    <x v="1"/>
    <x v="1"/>
    <n v="8"/>
    <x v="1"/>
    <n v="2"/>
    <n v="2.84"/>
    <n v="1.8"/>
    <x v="0"/>
    <x v="1"/>
    <x v="2"/>
    <n v="7"/>
    <n v="8"/>
    <x v="0"/>
  </r>
  <r>
    <x v="2"/>
    <x v="1"/>
    <x v="30"/>
    <x v="2"/>
    <x v="0"/>
    <n v="4"/>
    <x v="0"/>
    <n v="1"/>
    <n v="2.4300000000000002"/>
    <n v="1.2"/>
    <x v="0"/>
    <x v="1"/>
    <x v="2"/>
    <n v="10"/>
    <n v="9"/>
    <x v="0"/>
  </r>
  <r>
    <x v="0"/>
    <x v="0"/>
    <x v="31"/>
    <x v="2"/>
    <x v="0"/>
    <n v="5.7"/>
    <x v="0"/>
    <n v="0.9"/>
    <n v="2.06"/>
    <n v="1.8"/>
    <x v="0"/>
    <x v="1"/>
    <x v="7"/>
    <n v="4"/>
    <n v="2"/>
    <x v="0"/>
  </r>
  <r>
    <x v="1"/>
    <x v="0"/>
    <x v="25"/>
    <x v="1"/>
    <x v="0"/>
    <n v="8.6"/>
    <x v="1"/>
    <n v="2.4"/>
    <n v="3.81"/>
    <n v="0.4"/>
    <x v="1"/>
    <x v="0"/>
    <x v="7"/>
    <n v="4"/>
    <n v="1"/>
    <x v="0"/>
  </r>
  <r>
    <x v="0"/>
    <x v="1"/>
    <x v="32"/>
    <x v="0"/>
    <x v="0"/>
    <n v="7.7"/>
    <x v="0"/>
    <n v="1.4"/>
    <n v="3.42"/>
    <n v="0.3"/>
    <x v="1"/>
    <x v="2"/>
    <x v="4"/>
    <n v="1"/>
    <n v="8"/>
    <x v="0"/>
  </r>
  <r>
    <x v="3"/>
    <x v="0"/>
    <x v="6"/>
    <x v="2"/>
    <x v="2"/>
    <n v="8.8000000000000007"/>
    <x v="1"/>
    <n v="1.3"/>
    <n v="3.59"/>
    <n v="1.9"/>
    <x v="0"/>
    <x v="2"/>
    <x v="7"/>
    <n v="6"/>
    <n v="10"/>
    <x v="0"/>
  </r>
  <r>
    <x v="0"/>
    <x v="0"/>
    <x v="33"/>
    <x v="2"/>
    <x v="2"/>
    <n v="4.0999999999999996"/>
    <x v="0"/>
    <n v="2.1"/>
    <n v="3.07"/>
    <n v="0.2"/>
    <x v="1"/>
    <x v="2"/>
    <x v="8"/>
    <n v="3"/>
    <n v="8"/>
    <x v="0"/>
  </r>
  <r>
    <x v="0"/>
    <x v="1"/>
    <x v="34"/>
    <x v="2"/>
    <x v="1"/>
    <n v="4.8"/>
    <x v="0"/>
    <n v="0.9"/>
    <n v="2.2200000000000002"/>
    <n v="0.8"/>
    <x v="1"/>
    <x v="0"/>
    <x v="2"/>
    <n v="4"/>
    <n v="10"/>
    <x v="0"/>
  </r>
  <r>
    <x v="4"/>
    <x v="0"/>
    <x v="11"/>
    <x v="2"/>
    <x v="1"/>
    <n v="8.6"/>
    <x v="1"/>
    <n v="1.1000000000000001"/>
    <n v="2.36"/>
    <n v="1.6"/>
    <x v="0"/>
    <x v="1"/>
    <x v="2"/>
    <n v="10"/>
    <n v="10"/>
    <x v="0"/>
  </r>
  <r>
    <x v="6"/>
    <x v="1"/>
    <x v="35"/>
    <x v="2"/>
    <x v="0"/>
    <n v="5.0999999999999996"/>
    <x v="0"/>
    <n v="1.1000000000000001"/>
    <n v="2.27"/>
    <n v="1.8"/>
    <x v="0"/>
    <x v="2"/>
    <x v="0"/>
    <n v="5"/>
    <n v="6"/>
    <x v="0"/>
  </r>
  <r>
    <x v="5"/>
    <x v="0"/>
    <x v="21"/>
    <x v="2"/>
    <x v="1"/>
    <n v="6.3"/>
    <x v="0"/>
    <n v="3"/>
    <n v="3.24"/>
    <n v="1.9"/>
    <x v="0"/>
    <x v="2"/>
    <x v="6"/>
    <n v="4"/>
    <n v="9"/>
    <x v="0"/>
  </r>
  <r>
    <x v="0"/>
    <x v="0"/>
    <x v="17"/>
    <x v="1"/>
    <x v="0"/>
    <n v="8.5"/>
    <x v="1"/>
    <n v="1.8"/>
    <n v="3.65"/>
    <n v="1.8"/>
    <x v="0"/>
    <x v="1"/>
    <x v="5"/>
    <n v="10"/>
    <n v="10"/>
    <x v="0"/>
  </r>
  <r>
    <x v="6"/>
    <x v="0"/>
    <x v="10"/>
    <x v="2"/>
    <x v="2"/>
    <n v="7.1"/>
    <x v="0"/>
    <n v="2.2000000000000002"/>
    <n v="3.43"/>
    <n v="0.2"/>
    <x v="1"/>
    <x v="2"/>
    <x v="5"/>
    <n v="2"/>
    <n v="2"/>
    <x v="0"/>
  </r>
  <r>
    <x v="4"/>
    <x v="0"/>
    <x v="34"/>
    <x v="2"/>
    <x v="1"/>
    <n v="4.0999999999999996"/>
    <x v="0"/>
    <n v="1.9"/>
    <n v="3.42"/>
    <n v="0.1"/>
    <x v="1"/>
    <x v="2"/>
    <x v="4"/>
    <n v="7"/>
    <n v="8"/>
    <x v="0"/>
  </r>
  <r>
    <x v="4"/>
    <x v="0"/>
    <x v="36"/>
    <x v="2"/>
    <x v="0"/>
    <n v="4.5"/>
    <x v="0"/>
    <n v="2.5"/>
    <n v="3.16"/>
    <n v="1.3"/>
    <x v="0"/>
    <x v="0"/>
    <x v="3"/>
    <n v="7"/>
    <n v="8"/>
    <x v="0"/>
  </r>
  <r>
    <x v="6"/>
    <x v="1"/>
    <x v="37"/>
    <x v="2"/>
    <x v="1"/>
    <n v="8.5"/>
    <x v="1"/>
    <n v="2.2999999999999998"/>
    <n v="3.3"/>
    <n v="1.9"/>
    <x v="0"/>
    <x v="1"/>
    <x v="2"/>
    <n v="1"/>
    <n v="5"/>
    <x v="0"/>
  </r>
  <r>
    <x v="4"/>
    <x v="0"/>
    <x v="11"/>
    <x v="2"/>
    <x v="0"/>
    <n v="6.5"/>
    <x v="0"/>
    <n v="2.7"/>
    <n v="2.97"/>
    <n v="1.9"/>
    <x v="0"/>
    <x v="0"/>
    <x v="6"/>
    <n v="4"/>
    <n v="5"/>
    <x v="0"/>
  </r>
  <r>
    <x v="3"/>
    <x v="1"/>
    <x v="3"/>
    <x v="0"/>
    <x v="0"/>
    <n v="8.6"/>
    <x v="1"/>
    <n v="0.9"/>
    <n v="2.2999999999999998"/>
    <n v="0"/>
    <x v="2"/>
    <x v="0"/>
    <x v="2"/>
    <n v="5"/>
    <n v="3"/>
    <x v="0"/>
  </r>
  <r>
    <x v="4"/>
    <x v="0"/>
    <x v="34"/>
    <x v="2"/>
    <x v="1"/>
    <n v="5"/>
    <x v="0"/>
    <n v="2.5"/>
    <n v="2.65"/>
    <n v="0.7"/>
    <x v="1"/>
    <x v="2"/>
    <x v="1"/>
    <n v="9"/>
    <n v="1"/>
    <x v="0"/>
  </r>
  <r>
    <x v="5"/>
    <x v="0"/>
    <x v="31"/>
    <x v="2"/>
    <x v="1"/>
    <n v="5.3"/>
    <x v="0"/>
    <n v="2.4"/>
    <n v="2.0299999999999998"/>
    <n v="1.7"/>
    <x v="0"/>
    <x v="2"/>
    <x v="9"/>
    <n v="5"/>
    <n v="10"/>
    <x v="0"/>
  </r>
  <r>
    <x v="6"/>
    <x v="0"/>
    <x v="32"/>
    <x v="0"/>
    <x v="2"/>
    <n v="4.2"/>
    <x v="0"/>
    <n v="1.3"/>
    <n v="2.16"/>
    <n v="1"/>
    <x v="1"/>
    <x v="1"/>
    <x v="6"/>
    <n v="5"/>
    <n v="2"/>
    <x v="0"/>
  </r>
  <r>
    <x v="2"/>
    <x v="1"/>
    <x v="38"/>
    <x v="0"/>
    <x v="0"/>
    <n v="5.6"/>
    <x v="0"/>
    <n v="0.6"/>
    <n v="3.07"/>
    <n v="1"/>
    <x v="1"/>
    <x v="2"/>
    <x v="2"/>
    <n v="3"/>
    <n v="7"/>
    <x v="0"/>
  </r>
  <r>
    <x v="4"/>
    <x v="0"/>
    <x v="25"/>
    <x v="1"/>
    <x v="1"/>
    <n v="5.0999999999999996"/>
    <x v="0"/>
    <n v="2.7"/>
    <n v="3.57"/>
    <n v="0.8"/>
    <x v="1"/>
    <x v="1"/>
    <x v="3"/>
    <n v="9"/>
    <n v="7"/>
    <x v="0"/>
  </r>
  <r>
    <x v="3"/>
    <x v="1"/>
    <x v="14"/>
    <x v="1"/>
    <x v="0"/>
    <n v="4.7"/>
    <x v="0"/>
    <n v="1"/>
    <n v="3.82"/>
    <n v="0.6"/>
    <x v="1"/>
    <x v="2"/>
    <x v="4"/>
    <n v="1"/>
    <n v="4"/>
    <x v="0"/>
  </r>
  <r>
    <x v="6"/>
    <x v="0"/>
    <x v="39"/>
    <x v="2"/>
    <x v="2"/>
    <n v="5.8"/>
    <x v="0"/>
    <n v="0.7"/>
    <n v="3.15"/>
    <n v="0.1"/>
    <x v="1"/>
    <x v="2"/>
    <x v="9"/>
    <n v="2"/>
    <n v="1"/>
    <x v="0"/>
  </r>
  <r>
    <x v="2"/>
    <x v="0"/>
    <x v="5"/>
    <x v="2"/>
    <x v="2"/>
    <n v="6.7"/>
    <x v="0"/>
    <n v="2"/>
    <n v="2.56"/>
    <n v="1.7"/>
    <x v="0"/>
    <x v="1"/>
    <x v="5"/>
    <n v="7"/>
    <n v="5"/>
    <x v="0"/>
  </r>
  <r>
    <x v="1"/>
    <x v="1"/>
    <x v="0"/>
    <x v="0"/>
    <x v="1"/>
    <n v="5.0999999999999996"/>
    <x v="0"/>
    <n v="1.7"/>
    <n v="2.8"/>
    <n v="0.8"/>
    <x v="1"/>
    <x v="0"/>
    <x v="4"/>
    <n v="1"/>
    <n v="8"/>
    <x v="0"/>
  </r>
  <r>
    <x v="2"/>
    <x v="0"/>
    <x v="26"/>
    <x v="2"/>
    <x v="0"/>
    <n v="8"/>
    <x v="1"/>
    <n v="2.6"/>
    <n v="3.53"/>
    <n v="1.9"/>
    <x v="0"/>
    <x v="1"/>
    <x v="2"/>
    <n v="8"/>
    <n v="7"/>
    <x v="0"/>
  </r>
  <r>
    <x v="6"/>
    <x v="0"/>
    <x v="15"/>
    <x v="2"/>
    <x v="1"/>
    <n v="8.1999999999999993"/>
    <x v="1"/>
    <n v="1.5"/>
    <n v="2.4500000000000002"/>
    <n v="0.3"/>
    <x v="1"/>
    <x v="0"/>
    <x v="5"/>
    <n v="8"/>
    <n v="6"/>
    <x v="0"/>
  </r>
  <r>
    <x v="2"/>
    <x v="0"/>
    <x v="37"/>
    <x v="2"/>
    <x v="2"/>
    <n v="7.6"/>
    <x v="0"/>
    <n v="0.7"/>
    <n v="2.83"/>
    <n v="1"/>
    <x v="1"/>
    <x v="2"/>
    <x v="9"/>
    <n v="6"/>
    <n v="8"/>
    <x v="0"/>
  </r>
  <r>
    <x v="0"/>
    <x v="1"/>
    <x v="40"/>
    <x v="2"/>
    <x v="2"/>
    <n v="7"/>
    <x v="0"/>
    <n v="2.8"/>
    <n v="2.8"/>
    <n v="0.1"/>
    <x v="1"/>
    <x v="0"/>
    <x v="1"/>
    <n v="2"/>
    <n v="8"/>
    <x v="0"/>
  </r>
  <r>
    <x v="3"/>
    <x v="0"/>
    <x v="41"/>
    <x v="0"/>
    <x v="2"/>
    <n v="7"/>
    <x v="0"/>
    <n v="0.9"/>
    <n v="3.48"/>
    <n v="1.1000000000000001"/>
    <x v="0"/>
    <x v="1"/>
    <x v="0"/>
    <n v="2"/>
    <n v="6"/>
    <x v="0"/>
  </r>
  <r>
    <x v="0"/>
    <x v="0"/>
    <x v="33"/>
    <x v="2"/>
    <x v="2"/>
    <n v="6.7"/>
    <x v="0"/>
    <n v="2"/>
    <n v="3.48"/>
    <n v="1"/>
    <x v="1"/>
    <x v="2"/>
    <x v="0"/>
    <n v="1"/>
    <n v="5"/>
    <x v="0"/>
  </r>
  <r>
    <x v="5"/>
    <x v="1"/>
    <x v="15"/>
    <x v="2"/>
    <x v="1"/>
    <n v="5"/>
    <x v="0"/>
    <n v="1.1000000000000001"/>
    <n v="2.73"/>
    <n v="1.6"/>
    <x v="0"/>
    <x v="0"/>
    <x v="0"/>
    <n v="8"/>
    <n v="1"/>
    <x v="0"/>
  </r>
  <r>
    <x v="5"/>
    <x v="1"/>
    <x v="23"/>
    <x v="2"/>
    <x v="0"/>
    <n v="8.6999999999999993"/>
    <x v="1"/>
    <n v="1.2"/>
    <n v="3"/>
    <n v="0"/>
    <x v="2"/>
    <x v="0"/>
    <x v="1"/>
    <n v="8"/>
    <n v="4"/>
    <x v="0"/>
  </r>
  <r>
    <x v="0"/>
    <x v="0"/>
    <x v="26"/>
    <x v="2"/>
    <x v="0"/>
    <n v="8.4"/>
    <x v="1"/>
    <n v="1.3"/>
    <n v="2.0099999999999998"/>
    <n v="0.6"/>
    <x v="1"/>
    <x v="0"/>
    <x v="4"/>
    <n v="3"/>
    <n v="8"/>
    <x v="0"/>
  </r>
  <r>
    <x v="0"/>
    <x v="0"/>
    <x v="14"/>
    <x v="1"/>
    <x v="2"/>
    <n v="4.3"/>
    <x v="0"/>
    <n v="2.1"/>
    <n v="3.9"/>
    <n v="1.5"/>
    <x v="0"/>
    <x v="0"/>
    <x v="7"/>
    <n v="2"/>
    <n v="4"/>
    <x v="0"/>
  </r>
  <r>
    <x v="2"/>
    <x v="1"/>
    <x v="42"/>
    <x v="2"/>
    <x v="0"/>
    <n v="8.1999999999999993"/>
    <x v="1"/>
    <n v="0.8"/>
    <n v="2.36"/>
    <n v="0"/>
    <x v="2"/>
    <x v="2"/>
    <x v="7"/>
    <n v="10"/>
    <n v="7"/>
    <x v="0"/>
  </r>
  <r>
    <x v="6"/>
    <x v="0"/>
    <x v="43"/>
    <x v="1"/>
    <x v="1"/>
    <n v="7.1"/>
    <x v="0"/>
    <n v="1.8"/>
    <n v="2.5499999999999998"/>
    <n v="0.8"/>
    <x v="1"/>
    <x v="1"/>
    <x v="5"/>
    <n v="5"/>
    <n v="10"/>
    <x v="0"/>
  </r>
  <r>
    <x v="6"/>
    <x v="0"/>
    <x v="18"/>
    <x v="2"/>
    <x v="1"/>
    <n v="4.4000000000000004"/>
    <x v="0"/>
    <n v="0.6"/>
    <n v="3.41"/>
    <n v="0.2"/>
    <x v="1"/>
    <x v="0"/>
    <x v="1"/>
    <n v="6"/>
    <n v="3"/>
    <x v="0"/>
  </r>
  <r>
    <x v="3"/>
    <x v="0"/>
    <x v="16"/>
    <x v="2"/>
    <x v="2"/>
    <n v="4.5"/>
    <x v="0"/>
    <n v="2.1"/>
    <n v="3.71"/>
    <n v="1.3"/>
    <x v="0"/>
    <x v="1"/>
    <x v="3"/>
    <n v="3"/>
    <n v="3"/>
    <x v="0"/>
  </r>
  <r>
    <x v="4"/>
    <x v="0"/>
    <x v="43"/>
    <x v="1"/>
    <x v="2"/>
    <n v="7.2"/>
    <x v="0"/>
    <n v="1"/>
    <n v="3.13"/>
    <n v="0.6"/>
    <x v="1"/>
    <x v="2"/>
    <x v="0"/>
    <n v="1"/>
    <n v="4"/>
    <x v="0"/>
  </r>
  <r>
    <x v="4"/>
    <x v="1"/>
    <x v="3"/>
    <x v="0"/>
    <x v="0"/>
    <n v="7.5"/>
    <x v="0"/>
    <n v="2.2999999999999998"/>
    <n v="2.39"/>
    <n v="0.9"/>
    <x v="1"/>
    <x v="1"/>
    <x v="6"/>
    <n v="1"/>
    <n v="4"/>
    <x v="0"/>
  </r>
  <r>
    <x v="1"/>
    <x v="1"/>
    <x v="29"/>
    <x v="2"/>
    <x v="1"/>
    <n v="6"/>
    <x v="0"/>
    <n v="1.5"/>
    <n v="2.61"/>
    <n v="1.2"/>
    <x v="0"/>
    <x v="1"/>
    <x v="0"/>
    <n v="2"/>
    <n v="6"/>
    <x v="0"/>
  </r>
  <r>
    <x v="0"/>
    <x v="0"/>
    <x v="17"/>
    <x v="1"/>
    <x v="2"/>
    <n v="5.2"/>
    <x v="0"/>
    <n v="2.2000000000000002"/>
    <n v="2.19"/>
    <n v="1.9"/>
    <x v="0"/>
    <x v="2"/>
    <x v="8"/>
    <n v="9"/>
    <n v="4"/>
    <x v="0"/>
  </r>
  <r>
    <x v="6"/>
    <x v="0"/>
    <x v="3"/>
    <x v="0"/>
    <x v="0"/>
    <n v="5.6"/>
    <x v="0"/>
    <n v="1.4"/>
    <n v="2.95"/>
    <n v="1.7"/>
    <x v="0"/>
    <x v="1"/>
    <x v="1"/>
    <n v="5"/>
    <n v="5"/>
    <x v="0"/>
  </r>
  <r>
    <x v="5"/>
    <x v="1"/>
    <x v="44"/>
    <x v="2"/>
    <x v="2"/>
    <n v="8.6"/>
    <x v="1"/>
    <n v="1.3"/>
    <n v="3.64"/>
    <n v="1.6"/>
    <x v="0"/>
    <x v="1"/>
    <x v="5"/>
    <n v="3"/>
    <n v="1"/>
    <x v="0"/>
  </r>
  <r>
    <x v="2"/>
    <x v="1"/>
    <x v="27"/>
    <x v="2"/>
    <x v="2"/>
    <n v="9"/>
    <x v="1"/>
    <n v="2.5"/>
    <n v="3.4"/>
    <n v="0.9"/>
    <x v="1"/>
    <x v="1"/>
    <x v="1"/>
    <n v="10"/>
    <n v="5"/>
    <x v="0"/>
  </r>
  <r>
    <x v="4"/>
    <x v="0"/>
    <x v="41"/>
    <x v="0"/>
    <x v="0"/>
    <n v="7.4"/>
    <x v="0"/>
    <n v="1.8"/>
    <n v="3.47"/>
    <n v="0"/>
    <x v="2"/>
    <x v="0"/>
    <x v="8"/>
    <n v="4"/>
    <n v="2"/>
    <x v="0"/>
  </r>
  <r>
    <x v="2"/>
    <x v="1"/>
    <x v="45"/>
    <x v="2"/>
    <x v="2"/>
    <n v="5.7"/>
    <x v="0"/>
    <n v="2.5"/>
    <n v="3.13"/>
    <n v="1.9"/>
    <x v="0"/>
    <x v="2"/>
    <x v="5"/>
    <n v="10"/>
    <n v="3"/>
    <x v="0"/>
  </r>
  <r>
    <x v="2"/>
    <x v="1"/>
    <x v="46"/>
    <x v="2"/>
    <x v="0"/>
    <n v="5.3"/>
    <x v="0"/>
    <n v="1.7"/>
    <n v="2.77"/>
    <n v="0.9"/>
    <x v="1"/>
    <x v="2"/>
    <x v="1"/>
    <n v="4"/>
    <n v="8"/>
    <x v="0"/>
  </r>
  <r>
    <x v="4"/>
    <x v="0"/>
    <x v="10"/>
    <x v="2"/>
    <x v="0"/>
    <n v="4.0999999999999996"/>
    <x v="0"/>
    <n v="2.8"/>
    <n v="3.41"/>
    <n v="1.1000000000000001"/>
    <x v="0"/>
    <x v="2"/>
    <x v="9"/>
    <n v="8"/>
    <n v="1"/>
    <x v="1"/>
  </r>
  <r>
    <x v="2"/>
    <x v="1"/>
    <x v="4"/>
    <x v="2"/>
    <x v="0"/>
    <n v="4.7"/>
    <x v="0"/>
    <n v="2.4"/>
    <n v="3.94"/>
    <n v="0"/>
    <x v="2"/>
    <x v="2"/>
    <x v="7"/>
    <n v="5"/>
    <n v="8"/>
    <x v="0"/>
  </r>
  <r>
    <x v="4"/>
    <x v="1"/>
    <x v="6"/>
    <x v="2"/>
    <x v="0"/>
    <n v="4.5999999999999996"/>
    <x v="0"/>
    <n v="2.2000000000000002"/>
    <n v="3.7"/>
    <n v="0.6"/>
    <x v="1"/>
    <x v="2"/>
    <x v="6"/>
    <n v="1"/>
    <n v="4"/>
    <x v="0"/>
  </r>
  <r>
    <x v="4"/>
    <x v="0"/>
    <x v="10"/>
    <x v="2"/>
    <x v="1"/>
    <n v="8.6"/>
    <x v="1"/>
    <n v="1.5"/>
    <n v="3.22"/>
    <n v="1.6"/>
    <x v="0"/>
    <x v="0"/>
    <x v="6"/>
    <n v="5"/>
    <n v="7"/>
    <x v="0"/>
  </r>
  <r>
    <x v="2"/>
    <x v="1"/>
    <x v="46"/>
    <x v="2"/>
    <x v="1"/>
    <n v="6.8"/>
    <x v="0"/>
    <n v="2"/>
    <n v="2.2200000000000002"/>
    <n v="1"/>
    <x v="1"/>
    <x v="2"/>
    <x v="4"/>
    <n v="9"/>
    <n v="8"/>
    <x v="0"/>
  </r>
  <r>
    <x v="6"/>
    <x v="1"/>
    <x v="6"/>
    <x v="2"/>
    <x v="0"/>
    <n v="4.4000000000000004"/>
    <x v="0"/>
    <n v="2.5"/>
    <n v="3.6"/>
    <n v="1.4"/>
    <x v="0"/>
    <x v="2"/>
    <x v="9"/>
    <n v="2"/>
    <n v="10"/>
    <x v="0"/>
  </r>
  <r>
    <x v="3"/>
    <x v="1"/>
    <x v="47"/>
    <x v="1"/>
    <x v="0"/>
    <n v="6.4"/>
    <x v="0"/>
    <n v="2.4"/>
    <n v="2.16"/>
    <n v="1.9"/>
    <x v="0"/>
    <x v="2"/>
    <x v="3"/>
    <n v="6"/>
    <n v="9"/>
    <x v="0"/>
  </r>
  <r>
    <x v="6"/>
    <x v="0"/>
    <x v="15"/>
    <x v="2"/>
    <x v="1"/>
    <n v="5.4"/>
    <x v="0"/>
    <n v="1.9"/>
    <n v="3.66"/>
    <n v="0.4"/>
    <x v="1"/>
    <x v="0"/>
    <x v="9"/>
    <n v="4"/>
    <n v="2"/>
    <x v="0"/>
  </r>
  <r>
    <x v="6"/>
    <x v="1"/>
    <x v="35"/>
    <x v="2"/>
    <x v="1"/>
    <n v="5.2"/>
    <x v="0"/>
    <n v="2.5"/>
    <n v="2.57"/>
    <n v="1.1000000000000001"/>
    <x v="0"/>
    <x v="1"/>
    <x v="2"/>
    <n v="6"/>
    <n v="3"/>
    <x v="0"/>
  </r>
  <r>
    <x v="4"/>
    <x v="0"/>
    <x v="3"/>
    <x v="0"/>
    <x v="1"/>
    <n v="6.4"/>
    <x v="0"/>
    <n v="2.2000000000000002"/>
    <n v="3.51"/>
    <n v="1"/>
    <x v="1"/>
    <x v="1"/>
    <x v="6"/>
    <n v="5"/>
    <n v="4"/>
    <x v="0"/>
  </r>
  <r>
    <x v="5"/>
    <x v="0"/>
    <x v="48"/>
    <x v="0"/>
    <x v="0"/>
    <n v="5.5"/>
    <x v="0"/>
    <n v="1.4"/>
    <n v="2.95"/>
    <n v="0.3"/>
    <x v="1"/>
    <x v="2"/>
    <x v="0"/>
    <n v="5"/>
    <n v="2"/>
    <x v="0"/>
  </r>
  <r>
    <x v="6"/>
    <x v="0"/>
    <x v="49"/>
    <x v="2"/>
    <x v="2"/>
    <n v="4.0999999999999996"/>
    <x v="0"/>
    <n v="1.6"/>
    <n v="3.32"/>
    <n v="0.8"/>
    <x v="1"/>
    <x v="2"/>
    <x v="2"/>
    <n v="3"/>
    <n v="8"/>
    <x v="0"/>
  </r>
  <r>
    <x v="4"/>
    <x v="1"/>
    <x v="22"/>
    <x v="2"/>
    <x v="0"/>
    <n v="6.3"/>
    <x v="0"/>
    <n v="1.3"/>
    <n v="3.05"/>
    <n v="1.7"/>
    <x v="0"/>
    <x v="0"/>
    <x v="0"/>
    <n v="9"/>
    <n v="5"/>
    <x v="0"/>
  </r>
  <r>
    <x v="6"/>
    <x v="0"/>
    <x v="25"/>
    <x v="1"/>
    <x v="0"/>
    <n v="4.2"/>
    <x v="0"/>
    <n v="1.5"/>
    <n v="3.72"/>
    <n v="1.7"/>
    <x v="0"/>
    <x v="2"/>
    <x v="7"/>
    <n v="1"/>
    <n v="10"/>
    <x v="0"/>
  </r>
  <r>
    <x v="4"/>
    <x v="0"/>
    <x v="37"/>
    <x v="2"/>
    <x v="0"/>
    <n v="6.7"/>
    <x v="0"/>
    <n v="1.9"/>
    <n v="3"/>
    <n v="1.9"/>
    <x v="0"/>
    <x v="0"/>
    <x v="5"/>
    <n v="8"/>
    <n v="2"/>
    <x v="0"/>
  </r>
  <r>
    <x v="3"/>
    <x v="0"/>
    <x v="26"/>
    <x v="2"/>
    <x v="1"/>
    <n v="6.6"/>
    <x v="0"/>
    <n v="1.9"/>
    <n v="2.75"/>
    <n v="1.9"/>
    <x v="0"/>
    <x v="2"/>
    <x v="3"/>
    <n v="6"/>
    <n v="6"/>
    <x v="0"/>
  </r>
  <r>
    <x v="6"/>
    <x v="1"/>
    <x v="6"/>
    <x v="2"/>
    <x v="2"/>
    <n v="4.5"/>
    <x v="0"/>
    <n v="1"/>
    <n v="3.65"/>
    <n v="1.8"/>
    <x v="0"/>
    <x v="0"/>
    <x v="5"/>
    <n v="6"/>
    <n v="5"/>
    <x v="0"/>
  </r>
  <r>
    <x v="4"/>
    <x v="0"/>
    <x v="50"/>
    <x v="2"/>
    <x v="2"/>
    <n v="8.8000000000000007"/>
    <x v="1"/>
    <n v="1.2"/>
    <n v="3.71"/>
    <n v="1.1000000000000001"/>
    <x v="0"/>
    <x v="2"/>
    <x v="9"/>
    <n v="6"/>
    <n v="10"/>
    <x v="0"/>
  </r>
  <r>
    <x v="6"/>
    <x v="0"/>
    <x v="25"/>
    <x v="1"/>
    <x v="1"/>
    <n v="4.3"/>
    <x v="0"/>
    <n v="0.6"/>
    <n v="3.91"/>
    <n v="2"/>
    <x v="0"/>
    <x v="2"/>
    <x v="5"/>
    <n v="10"/>
    <n v="7"/>
    <x v="0"/>
  </r>
  <r>
    <x v="0"/>
    <x v="0"/>
    <x v="21"/>
    <x v="2"/>
    <x v="1"/>
    <n v="8"/>
    <x v="1"/>
    <n v="2.5"/>
    <n v="3.08"/>
    <n v="1.7"/>
    <x v="0"/>
    <x v="2"/>
    <x v="5"/>
    <n v="6"/>
    <n v="7"/>
    <x v="0"/>
  </r>
  <r>
    <x v="2"/>
    <x v="0"/>
    <x v="51"/>
    <x v="0"/>
    <x v="1"/>
    <n v="8.5"/>
    <x v="1"/>
    <n v="1.2"/>
    <n v="3.56"/>
    <n v="0"/>
    <x v="2"/>
    <x v="2"/>
    <x v="9"/>
    <n v="10"/>
    <n v="7"/>
    <x v="0"/>
  </r>
  <r>
    <x v="5"/>
    <x v="0"/>
    <x v="29"/>
    <x v="2"/>
    <x v="2"/>
    <n v="7.1"/>
    <x v="0"/>
    <n v="0.6"/>
    <n v="3.36"/>
    <n v="0.7"/>
    <x v="1"/>
    <x v="1"/>
    <x v="9"/>
    <n v="6"/>
    <n v="9"/>
    <x v="0"/>
  </r>
  <r>
    <x v="2"/>
    <x v="1"/>
    <x v="33"/>
    <x v="2"/>
    <x v="2"/>
    <n v="6"/>
    <x v="0"/>
    <n v="0.6"/>
    <n v="3.07"/>
    <n v="0.6"/>
    <x v="1"/>
    <x v="2"/>
    <x v="4"/>
    <n v="2"/>
    <n v="9"/>
    <x v="0"/>
  </r>
  <r>
    <x v="6"/>
    <x v="0"/>
    <x v="12"/>
    <x v="2"/>
    <x v="2"/>
    <n v="6.6"/>
    <x v="0"/>
    <n v="2.4"/>
    <n v="3.99"/>
    <n v="1.7"/>
    <x v="0"/>
    <x v="1"/>
    <x v="2"/>
    <n v="3"/>
    <n v="1"/>
    <x v="0"/>
  </r>
  <r>
    <x v="3"/>
    <x v="0"/>
    <x v="28"/>
    <x v="2"/>
    <x v="1"/>
    <n v="5.2"/>
    <x v="0"/>
    <n v="1.4"/>
    <n v="2.98"/>
    <n v="1.9"/>
    <x v="0"/>
    <x v="0"/>
    <x v="2"/>
    <n v="4"/>
    <n v="5"/>
    <x v="0"/>
  </r>
  <r>
    <x v="6"/>
    <x v="0"/>
    <x v="39"/>
    <x v="2"/>
    <x v="1"/>
    <n v="7.5"/>
    <x v="0"/>
    <n v="2.7"/>
    <n v="2.29"/>
    <n v="0.8"/>
    <x v="1"/>
    <x v="1"/>
    <x v="2"/>
    <n v="10"/>
    <n v="1"/>
    <x v="0"/>
  </r>
  <r>
    <x v="2"/>
    <x v="1"/>
    <x v="19"/>
    <x v="2"/>
    <x v="0"/>
    <n v="8.6"/>
    <x v="1"/>
    <n v="3"/>
    <n v="2.77"/>
    <n v="0.1"/>
    <x v="1"/>
    <x v="2"/>
    <x v="3"/>
    <n v="6"/>
    <n v="1"/>
    <x v="0"/>
  </r>
  <r>
    <x v="3"/>
    <x v="0"/>
    <x v="52"/>
    <x v="2"/>
    <x v="2"/>
    <n v="8.1"/>
    <x v="1"/>
    <n v="2"/>
    <n v="3.89"/>
    <n v="1.3"/>
    <x v="0"/>
    <x v="1"/>
    <x v="1"/>
    <n v="2"/>
    <n v="2"/>
    <x v="0"/>
  </r>
  <r>
    <x v="1"/>
    <x v="1"/>
    <x v="53"/>
    <x v="0"/>
    <x v="2"/>
    <n v="8.8000000000000007"/>
    <x v="1"/>
    <n v="2.1"/>
    <n v="3.75"/>
    <n v="1.3"/>
    <x v="0"/>
    <x v="1"/>
    <x v="7"/>
    <n v="9"/>
    <n v="6"/>
    <x v="0"/>
  </r>
  <r>
    <x v="2"/>
    <x v="0"/>
    <x v="52"/>
    <x v="2"/>
    <x v="0"/>
    <n v="4.0999999999999996"/>
    <x v="0"/>
    <n v="2.7"/>
    <n v="3.66"/>
    <n v="1.1000000000000001"/>
    <x v="0"/>
    <x v="2"/>
    <x v="4"/>
    <n v="10"/>
    <n v="10"/>
    <x v="0"/>
  </r>
  <r>
    <x v="2"/>
    <x v="1"/>
    <x v="50"/>
    <x v="2"/>
    <x v="1"/>
    <n v="4.2"/>
    <x v="0"/>
    <n v="0.6"/>
    <n v="2.21"/>
    <n v="1.4"/>
    <x v="0"/>
    <x v="2"/>
    <x v="4"/>
    <n v="6"/>
    <n v="3"/>
    <x v="0"/>
  </r>
  <r>
    <x v="6"/>
    <x v="0"/>
    <x v="22"/>
    <x v="2"/>
    <x v="1"/>
    <n v="4.0999999999999996"/>
    <x v="0"/>
    <n v="0.8"/>
    <n v="2.79"/>
    <n v="1.1000000000000001"/>
    <x v="0"/>
    <x v="2"/>
    <x v="1"/>
    <n v="6"/>
    <n v="3"/>
    <x v="0"/>
  </r>
  <r>
    <x v="3"/>
    <x v="1"/>
    <x v="6"/>
    <x v="2"/>
    <x v="0"/>
    <n v="8.1"/>
    <x v="1"/>
    <n v="2.1"/>
    <n v="2.0099999999999998"/>
    <n v="0.4"/>
    <x v="1"/>
    <x v="2"/>
    <x v="6"/>
    <n v="8"/>
    <n v="8"/>
    <x v="0"/>
  </r>
  <r>
    <x v="2"/>
    <x v="1"/>
    <x v="54"/>
    <x v="2"/>
    <x v="2"/>
    <n v="8.8000000000000007"/>
    <x v="1"/>
    <n v="1.3"/>
    <n v="4"/>
    <n v="0.9"/>
    <x v="1"/>
    <x v="2"/>
    <x v="1"/>
    <n v="10"/>
    <n v="7"/>
    <x v="0"/>
  </r>
  <r>
    <x v="4"/>
    <x v="0"/>
    <x v="17"/>
    <x v="1"/>
    <x v="1"/>
    <n v="8"/>
    <x v="1"/>
    <n v="1.7"/>
    <n v="3.12"/>
    <n v="0.1"/>
    <x v="1"/>
    <x v="0"/>
    <x v="4"/>
    <n v="4"/>
    <n v="2"/>
    <x v="0"/>
  </r>
  <r>
    <x v="5"/>
    <x v="0"/>
    <x v="12"/>
    <x v="2"/>
    <x v="2"/>
    <n v="5.8"/>
    <x v="0"/>
    <n v="2.8"/>
    <n v="2.17"/>
    <n v="0.5"/>
    <x v="1"/>
    <x v="2"/>
    <x v="3"/>
    <n v="9"/>
    <n v="2"/>
    <x v="0"/>
  </r>
  <r>
    <x v="1"/>
    <x v="0"/>
    <x v="52"/>
    <x v="2"/>
    <x v="2"/>
    <n v="8.1"/>
    <x v="1"/>
    <n v="2.2999999999999998"/>
    <n v="2.21"/>
    <n v="0.4"/>
    <x v="1"/>
    <x v="1"/>
    <x v="1"/>
    <n v="8"/>
    <n v="6"/>
    <x v="0"/>
  </r>
  <r>
    <x v="5"/>
    <x v="0"/>
    <x v="24"/>
    <x v="2"/>
    <x v="0"/>
    <n v="5.6"/>
    <x v="0"/>
    <n v="0.8"/>
    <n v="3.48"/>
    <n v="1.7"/>
    <x v="0"/>
    <x v="2"/>
    <x v="6"/>
    <n v="3"/>
    <n v="4"/>
    <x v="0"/>
  </r>
  <r>
    <x v="6"/>
    <x v="0"/>
    <x v="54"/>
    <x v="2"/>
    <x v="1"/>
    <n v="7.2"/>
    <x v="0"/>
    <n v="1.5"/>
    <n v="2.36"/>
    <n v="0.2"/>
    <x v="1"/>
    <x v="0"/>
    <x v="2"/>
    <n v="3"/>
    <n v="4"/>
    <x v="0"/>
  </r>
  <r>
    <x v="4"/>
    <x v="1"/>
    <x v="43"/>
    <x v="1"/>
    <x v="2"/>
    <n v="8"/>
    <x v="1"/>
    <n v="2.7"/>
    <n v="2.04"/>
    <n v="0.1"/>
    <x v="1"/>
    <x v="0"/>
    <x v="9"/>
    <n v="10"/>
    <n v="2"/>
    <x v="0"/>
  </r>
  <r>
    <x v="6"/>
    <x v="1"/>
    <x v="55"/>
    <x v="2"/>
    <x v="0"/>
    <n v="7.9"/>
    <x v="0"/>
    <n v="1.3"/>
    <n v="3.97"/>
    <n v="0.2"/>
    <x v="1"/>
    <x v="2"/>
    <x v="9"/>
    <n v="10"/>
    <n v="9"/>
    <x v="0"/>
  </r>
  <r>
    <x v="6"/>
    <x v="1"/>
    <x v="4"/>
    <x v="2"/>
    <x v="2"/>
    <n v="6.8"/>
    <x v="0"/>
    <n v="1.7"/>
    <n v="3.27"/>
    <n v="1.4"/>
    <x v="0"/>
    <x v="0"/>
    <x v="6"/>
    <n v="2"/>
    <n v="4"/>
    <x v="0"/>
  </r>
  <r>
    <x v="3"/>
    <x v="0"/>
    <x v="3"/>
    <x v="0"/>
    <x v="1"/>
    <n v="6.3"/>
    <x v="0"/>
    <n v="1.3"/>
    <n v="3.47"/>
    <n v="1.2"/>
    <x v="0"/>
    <x v="2"/>
    <x v="2"/>
    <n v="3"/>
    <n v="9"/>
    <x v="0"/>
  </r>
  <r>
    <x v="2"/>
    <x v="0"/>
    <x v="40"/>
    <x v="2"/>
    <x v="0"/>
    <n v="7.1"/>
    <x v="0"/>
    <n v="2.4"/>
    <n v="3.82"/>
    <n v="0.8"/>
    <x v="1"/>
    <x v="1"/>
    <x v="3"/>
    <n v="6"/>
    <n v="10"/>
    <x v="0"/>
  </r>
  <r>
    <x v="4"/>
    <x v="0"/>
    <x v="15"/>
    <x v="2"/>
    <x v="0"/>
    <n v="5.7"/>
    <x v="0"/>
    <n v="2.9"/>
    <n v="3.1"/>
    <n v="0.6"/>
    <x v="1"/>
    <x v="2"/>
    <x v="8"/>
    <n v="4"/>
    <n v="2"/>
    <x v="0"/>
  </r>
  <r>
    <x v="5"/>
    <x v="1"/>
    <x v="44"/>
    <x v="2"/>
    <x v="1"/>
    <n v="8.8000000000000007"/>
    <x v="1"/>
    <n v="1.7"/>
    <n v="2.39"/>
    <n v="1"/>
    <x v="1"/>
    <x v="2"/>
    <x v="5"/>
    <n v="2"/>
    <n v="6"/>
    <x v="0"/>
  </r>
  <r>
    <x v="6"/>
    <x v="0"/>
    <x v="27"/>
    <x v="2"/>
    <x v="1"/>
    <n v="6.9"/>
    <x v="0"/>
    <n v="0.6"/>
    <n v="3.03"/>
    <n v="0.8"/>
    <x v="1"/>
    <x v="0"/>
    <x v="8"/>
    <n v="3"/>
    <n v="8"/>
    <x v="0"/>
  </r>
  <r>
    <x v="4"/>
    <x v="0"/>
    <x v="34"/>
    <x v="2"/>
    <x v="0"/>
    <n v="8.1"/>
    <x v="1"/>
    <n v="1.6"/>
    <n v="3.72"/>
    <n v="1.2"/>
    <x v="0"/>
    <x v="0"/>
    <x v="2"/>
    <n v="2"/>
    <n v="1"/>
    <x v="0"/>
  </r>
  <r>
    <x v="2"/>
    <x v="0"/>
    <x v="56"/>
    <x v="2"/>
    <x v="1"/>
    <n v="4.7"/>
    <x v="0"/>
    <n v="2"/>
    <n v="2.99"/>
    <n v="1.9"/>
    <x v="0"/>
    <x v="0"/>
    <x v="5"/>
    <n v="1"/>
    <n v="8"/>
    <x v="0"/>
  </r>
  <r>
    <x v="0"/>
    <x v="1"/>
    <x v="31"/>
    <x v="2"/>
    <x v="0"/>
    <n v="6"/>
    <x v="0"/>
    <n v="1.1000000000000001"/>
    <n v="3.81"/>
    <n v="0.9"/>
    <x v="1"/>
    <x v="2"/>
    <x v="1"/>
    <n v="2"/>
    <n v="3"/>
    <x v="0"/>
  </r>
  <r>
    <x v="3"/>
    <x v="1"/>
    <x v="21"/>
    <x v="2"/>
    <x v="1"/>
    <n v="6.5"/>
    <x v="0"/>
    <n v="2.6"/>
    <n v="3.18"/>
    <n v="0.1"/>
    <x v="1"/>
    <x v="0"/>
    <x v="2"/>
    <n v="8"/>
    <n v="4"/>
    <x v="0"/>
  </r>
  <r>
    <x v="6"/>
    <x v="1"/>
    <x v="57"/>
    <x v="2"/>
    <x v="1"/>
    <n v="8.8000000000000007"/>
    <x v="1"/>
    <n v="1.3"/>
    <n v="2.69"/>
    <n v="0.4"/>
    <x v="1"/>
    <x v="0"/>
    <x v="3"/>
    <n v="1"/>
    <n v="7"/>
    <x v="0"/>
  </r>
  <r>
    <x v="1"/>
    <x v="0"/>
    <x v="21"/>
    <x v="2"/>
    <x v="0"/>
    <n v="6.9"/>
    <x v="0"/>
    <n v="2.2999999999999998"/>
    <n v="2.17"/>
    <n v="1.6"/>
    <x v="0"/>
    <x v="2"/>
    <x v="3"/>
    <n v="6"/>
    <n v="10"/>
    <x v="0"/>
  </r>
  <r>
    <x v="6"/>
    <x v="0"/>
    <x v="39"/>
    <x v="2"/>
    <x v="0"/>
    <n v="4.4000000000000004"/>
    <x v="0"/>
    <n v="0.7"/>
    <n v="3.19"/>
    <n v="0.3"/>
    <x v="1"/>
    <x v="0"/>
    <x v="4"/>
    <n v="2"/>
    <n v="6"/>
    <x v="0"/>
  </r>
  <r>
    <x v="4"/>
    <x v="1"/>
    <x v="40"/>
    <x v="2"/>
    <x v="1"/>
    <n v="5.2"/>
    <x v="0"/>
    <n v="1.8"/>
    <n v="2.41"/>
    <n v="0.6"/>
    <x v="1"/>
    <x v="1"/>
    <x v="8"/>
    <n v="5"/>
    <n v="5"/>
    <x v="0"/>
  </r>
  <r>
    <x v="4"/>
    <x v="0"/>
    <x v="36"/>
    <x v="2"/>
    <x v="1"/>
    <n v="7.5"/>
    <x v="0"/>
    <n v="0.9"/>
    <n v="2.62"/>
    <n v="2"/>
    <x v="0"/>
    <x v="1"/>
    <x v="3"/>
    <n v="1"/>
    <n v="9"/>
    <x v="0"/>
  </r>
  <r>
    <x v="0"/>
    <x v="0"/>
    <x v="56"/>
    <x v="2"/>
    <x v="0"/>
    <n v="8.5"/>
    <x v="1"/>
    <n v="1.1000000000000001"/>
    <n v="3.03"/>
    <n v="1.6"/>
    <x v="0"/>
    <x v="2"/>
    <x v="5"/>
    <n v="6"/>
    <n v="7"/>
    <x v="0"/>
  </r>
  <r>
    <x v="0"/>
    <x v="0"/>
    <x v="56"/>
    <x v="2"/>
    <x v="1"/>
    <n v="5"/>
    <x v="0"/>
    <n v="1.4"/>
    <n v="2.96"/>
    <n v="1.1000000000000001"/>
    <x v="0"/>
    <x v="0"/>
    <x v="9"/>
    <n v="1"/>
    <n v="9"/>
    <x v="0"/>
  </r>
  <r>
    <x v="5"/>
    <x v="0"/>
    <x v="55"/>
    <x v="2"/>
    <x v="1"/>
    <n v="5.7"/>
    <x v="0"/>
    <n v="1.3"/>
    <n v="3.84"/>
    <n v="1.6"/>
    <x v="0"/>
    <x v="2"/>
    <x v="3"/>
    <n v="4"/>
    <n v="10"/>
    <x v="0"/>
  </r>
  <r>
    <x v="3"/>
    <x v="1"/>
    <x v="43"/>
    <x v="1"/>
    <x v="1"/>
    <n v="8.1999999999999993"/>
    <x v="1"/>
    <n v="0.7"/>
    <n v="2.94"/>
    <n v="0.7"/>
    <x v="1"/>
    <x v="1"/>
    <x v="7"/>
    <n v="7"/>
    <n v="9"/>
    <x v="0"/>
  </r>
  <r>
    <x v="0"/>
    <x v="0"/>
    <x v="5"/>
    <x v="2"/>
    <x v="2"/>
    <n v="5.3"/>
    <x v="0"/>
    <n v="2.4"/>
    <n v="3.87"/>
    <n v="1.3"/>
    <x v="0"/>
    <x v="1"/>
    <x v="7"/>
    <n v="9"/>
    <n v="6"/>
    <x v="0"/>
  </r>
  <r>
    <x v="1"/>
    <x v="1"/>
    <x v="19"/>
    <x v="2"/>
    <x v="0"/>
    <n v="6.4"/>
    <x v="0"/>
    <n v="0.9"/>
    <n v="2.4700000000000002"/>
    <n v="1.2"/>
    <x v="0"/>
    <x v="1"/>
    <x v="9"/>
    <n v="3"/>
    <n v="4"/>
    <x v="0"/>
  </r>
  <r>
    <x v="5"/>
    <x v="0"/>
    <x v="58"/>
    <x v="2"/>
    <x v="0"/>
    <n v="8.6"/>
    <x v="1"/>
    <n v="1.5"/>
    <n v="2.84"/>
    <n v="0.3"/>
    <x v="1"/>
    <x v="1"/>
    <x v="4"/>
    <n v="4"/>
    <n v="3"/>
    <x v="0"/>
  </r>
  <r>
    <x v="6"/>
    <x v="1"/>
    <x v="40"/>
    <x v="2"/>
    <x v="0"/>
    <n v="5"/>
    <x v="0"/>
    <n v="0.7"/>
    <n v="2.98"/>
    <n v="0.3"/>
    <x v="1"/>
    <x v="2"/>
    <x v="7"/>
    <n v="8"/>
    <n v="3"/>
    <x v="0"/>
  </r>
  <r>
    <x v="6"/>
    <x v="0"/>
    <x v="59"/>
    <x v="0"/>
    <x v="1"/>
    <n v="8.9"/>
    <x v="1"/>
    <n v="0.6"/>
    <n v="2.7"/>
    <n v="1.8"/>
    <x v="0"/>
    <x v="2"/>
    <x v="5"/>
    <n v="4"/>
    <n v="1"/>
    <x v="0"/>
  </r>
  <r>
    <x v="5"/>
    <x v="0"/>
    <x v="13"/>
    <x v="2"/>
    <x v="2"/>
    <n v="8.9"/>
    <x v="1"/>
    <n v="1.9"/>
    <n v="2.11"/>
    <n v="1.7"/>
    <x v="0"/>
    <x v="0"/>
    <x v="8"/>
    <n v="5"/>
    <n v="2"/>
    <x v="0"/>
  </r>
  <r>
    <x v="3"/>
    <x v="0"/>
    <x v="60"/>
    <x v="0"/>
    <x v="0"/>
    <n v="7.6"/>
    <x v="0"/>
    <n v="2.7"/>
    <n v="2.36"/>
    <n v="1.2"/>
    <x v="0"/>
    <x v="2"/>
    <x v="5"/>
    <n v="10"/>
    <n v="3"/>
    <x v="0"/>
  </r>
  <r>
    <x v="1"/>
    <x v="0"/>
    <x v="2"/>
    <x v="1"/>
    <x v="0"/>
    <n v="4.5"/>
    <x v="0"/>
    <n v="0.7"/>
    <n v="2.5099999999999998"/>
    <n v="0.8"/>
    <x v="1"/>
    <x v="0"/>
    <x v="7"/>
    <n v="9"/>
    <n v="7"/>
    <x v="0"/>
  </r>
  <r>
    <x v="2"/>
    <x v="1"/>
    <x v="56"/>
    <x v="2"/>
    <x v="2"/>
    <n v="7.8"/>
    <x v="0"/>
    <n v="2.1"/>
    <n v="3.29"/>
    <n v="1.5"/>
    <x v="0"/>
    <x v="0"/>
    <x v="1"/>
    <n v="1"/>
    <n v="7"/>
    <x v="0"/>
  </r>
  <r>
    <x v="3"/>
    <x v="1"/>
    <x v="26"/>
    <x v="2"/>
    <x v="2"/>
    <n v="8.8000000000000007"/>
    <x v="1"/>
    <n v="1.9"/>
    <n v="2.14"/>
    <n v="0.4"/>
    <x v="1"/>
    <x v="1"/>
    <x v="1"/>
    <n v="10"/>
    <n v="3"/>
    <x v="0"/>
  </r>
  <r>
    <x v="6"/>
    <x v="0"/>
    <x v="41"/>
    <x v="0"/>
    <x v="2"/>
    <n v="8"/>
    <x v="1"/>
    <n v="2"/>
    <n v="3.25"/>
    <n v="0.7"/>
    <x v="1"/>
    <x v="2"/>
    <x v="8"/>
    <n v="10"/>
    <n v="2"/>
    <x v="0"/>
  </r>
  <r>
    <x v="5"/>
    <x v="1"/>
    <x v="61"/>
    <x v="2"/>
    <x v="2"/>
    <n v="8.8000000000000007"/>
    <x v="1"/>
    <n v="1.7"/>
    <n v="3.55"/>
    <n v="1.3"/>
    <x v="0"/>
    <x v="2"/>
    <x v="4"/>
    <n v="10"/>
    <n v="9"/>
    <x v="0"/>
  </r>
  <r>
    <x v="1"/>
    <x v="0"/>
    <x v="22"/>
    <x v="2"/>
    <x v="2"/>
    <n v="7.4"/>
    <x v="0"/>
    <n v="1.2"/>
    <n v="2.5"/>
    <n v="1.8"/>
    <x v="0"/>
    <x v="1"/>
    <x v="0"/>
    <n v="5"/>
    <n v="2"/>
    <x v="0"/>
  </r>
  <r>
    <x v="1"/>
    <x v="0"/>
    <x v="23"/>
    <x v="2"/>
    <x v="1"/>
    <n v="5.3"/>
    <x v="0"/>
    <n v="1.7"/>
    <n v="2.91"/>
    <n v="0.8"/>
    <x v="1"/>
    <x v="0"/>
    <x v="8"/>
    <n v="5"/>
    <n v="9"/>
    <x v="0"/>
  </r>
  <r>
    <x v="3"/>
    <x v="1"/>
    <x v="53"/>
    <x v="0"/>
    <x v="1"/>
    <n v="5.3"/>
    <x v="0"/>
    <n v="0.5"/>
    <n v="2.3199999999999998"/>
    <n v="0.8"/>
    <x v="1"/>
    <x v="0"/>
    <x v="1"/>
    <n v="9"/>
    <n v="3"/>
    <x v="1"/>
  </r>
  <r>
    <x v="5"/>
    <x v="1"/>
    <x v="11"/>
    <x v="2"/>
    <x v="1"/>
    <n v="7.2"/>
    <x v="0"/>
    <n v="2.5"/>
    <n v="3.61"/>
    <n v="0.5"/>
    <x v="1"/>
    <x v="2"/>
    <x v="7"/>
    <n v="1"/>
    <n v="9"/>
    <x v="0"/>
  </r>
  <r>
    <x v="2"/>
    <x v="0"/>
    <x v="48"/>
    <x v="0"/>
    <x v="0"/>
    <n v="4.5999999999999996"/>
    <x v="0"/>
    <n v="2.6"/>
    <n v="3.06"/>
    <n v="0.1"/>
    <x v="1"/>
    <x v="1"/>
    <x v="8"/>
    <n v="2"/>
    <n v="6"/>
    <x v="0"/>
  </r>
  <r>
    <x v="6"/>
    <x v="1"/>
    <x v="32"/>
    <x v="0"/>
    <x v="2"/>
    <n v="8.9"/>
    <x v="1"/>
    <n v="2.7"/>
    <n v="3.68"/>
    <n v="1.9"/>
    <x v="0"/>
    <x v="0"/>
    <x v="4"/>
    <n v="6"/>
    <n v="10"/>
    <x v="0"/>
  </r>
  <r>
    <x v="3"/>
    <x v="1"/>
    <x v="14"/>
    <x v="1"/>
    <x v="2"/>
    <n v="8.6999999999999993"/>
    <x v="1"/>
    <n v="1.2"/>
    <n v="2.52"/>
    <n v="0.1"/>
    <x v="1"/>
    <x v="0"/>
    <x v="8"/>
    <n v="7"/>
    <n v="2"/>
    <x v="0"/>
  </r>
  <r>
    <x v="3"/>
    <x v="1"/>
    <x v="18"/>
    <x v="2"/>
    <x v="0"/>
    <n v="5"/>
    <x v="0"/>
    <n v="1.8"/>
    <n v="3.2"/>
    <n v="1.5"/>
    <x v="0"/>
    <x v="2"/>
    <x v="6"/>
    <n v="5"/>
    <n v="1"/>
    <x v="0"/>
  </r>
  <r>
    <x v="3"/>
    <x v="0"/>
    <x v="32"/>
    <x v="0"/>
    <x v="2"/>
    <n v="4.8"/>
    <x v="0"/>
    <n v="2.6"/>
    <n v="3.81"/>
    <n v="1.5"/>
    <x v="0"/>
    <x v="0"/>
    <x v="6"/>
    <n v="7"/>
    <n v="4"/>
    <x v="0"/>
  </r>
  <r>
    <x v="6"/>
    <x v="1"/>
    <x v="1"/>
    <x v="1"/>
    <x v="1"/>
    <n v="8.5"/>
    <x v="1"/>
    <n v="0.8"/>
    <n v="3.33"/>
    <n v="1.3"/>
    <x v="0"/>
    <x v="2"/>
    <x v="5"/>
    <n v="1"/>
    <n v="3"/>
    <x v="0"/>
  </r>
  <r>
    <x v="2"/>
    <x v="1"/>
    <x v="40"/>
    <x v="2"/>
    <x v="0"/>
    <n v="8.1999999999999993"/>
    <x v="1"/>
    <n v="1.3"/>
    <n v="3.21"/>
    <n v="1.8"/>
    <x v="0"/>
    <x v="2"/>
    <x v="3"/>
    <n v="7"/>
    <n v="7"/>
    <x v="0"/>
  </r>
  <r>
    <x v="4"/>
    <x v="0"/>
    <x v="2"/>
    <x v="1"/>
    <x v="0"/>
    <n v="5.8"/>
    <x v="0"/>
    <n v="1.3"/>
    <n v="3.35"/>
    <n v="1.9"/>
    <x v="0"/>
    <x v="2"/>
    <x v="8"/>
    <n v="4"/>
    <n v="9"/>
    <x v="0"/>
  </r>
  <r>
    <x v="1"/>
    <x v="0"/>
    <x v="4"/>
    <x v="2"/>
    <x v="1"/>
    <n v="8.1999999999999993"/>
    <x v="1"/>
    <n v="1.8"/>
    <n v="2.2599999999999998"/>
    <n v="1"/>
    <x v="1"/>
    <x v="0"/>
    <x v="9"/>
    <n v="4"/>
    <n v="7"/>
    <x v="0"/>
  </r>
  <r>
    <x v="3"/>
    <x v="0"/>
    <x v="1"/>
    <x v="1"/>
    <x v="1"/>
    <n v="5.8"/>
    <x v="0"/>
    <n v="2.2999999999999998"/>
    <n v="2.4700000000000002"/>
    <n v="0.3"/>
    <x v="1"/>
    <x v="1"/>
    <x v="7"/>
    <n v="9"/>
    <n v="4"/>
    <x v="0"/>
  </r>
  <r>
    <x v="4"/>
    <x v="1"/>
    <x v="59"/>
    <x v="0"/>
    <x v="2"/>
    <n v="6.3"/>
    <x v="0"/>
    <n v="1.6"/>
    <n v="2.5499999999999998"/>
    <n v="0.5"/>
    <x v="1"/>
    <x v="2"/>
    <x v="7"/>
    <n v="1"/>
    <n v="8"/>
    <x v="0"/>
  </r>
  <r>
    <x v="3"/>
    <x v="0"/>
    <x v="10"/>
    <x v="2"/>
    <x v="1"/>
    <n v="6.3"/>
    <x v="0"/>
    <n v="1.7"/>
    <n v="2.2599999999999998"/>
    <n v="1.1000000000000001"/>
    <x v="0"/>
    <x v="1"/>
    <x v="8"/>
    <n v="6"/>
    <n v="2"/>
    <x v="0"/>
  </r>
  <r>
    <x v="0"/>
    <x v="0"/>
    <x v="50"/>
    <x v="2"/>
    <x v="1"/>
    <n v="8"/>
    <x v="1"/>
    <n v="1.3"/>
    <n v="2.5"/>
    <n v="1.1000000000000001"/>
    <x v="0"/>
    <x v="1"/>
    <x v="0"/>
    <n v="7"/>
    <n v="5"/>
    <x v="0"/>
  </r>
  <r>
    <x v="4"/>
    <x v="1"/>
    <x v="34"/>
    <x v="2"/>
    <x v="2"/>
    <n v="7.9"/>
    <x v="0"/>
    <n v="1.4"/>
    <n v="2.38"/>
    <n v="0.1"/>
    <x v="1"/>
    <x v="1"/>
    <x v="9"/>
    <n v="9"/>
    <n v="1"/>
    <x v="0"/>
  </r>
  <r>
    <x v="0"/>
    <x v="1"/>
    <x v="43"/>
    <x v="1"/>
    <x v="2"/>
    <n v="6.1"/>
    <x v="0"/>
    <n v="2.5"/>
    <n v="2.8"/>
    <n v="1.8"/>
    <x v="0"/>
    <x v="1"/>
    <x v="6"/>
    <n v="10"/>
    <n v="3"/>
    <x v="0"/>
  </r>
  <r>
    <x v="6"/>
    <x v="0"/>
    <x v="62"/>
    <x v="2"/>
    <x v="0"/>
    <n v="8"/>
    <x v="1"/>
    <n v="2.8"/>
    <n v="3.21"/>
    <n v="1.6"/>
    <x v="0"/>
    <x v="2"/>
    <x v="0"/>
    <n v="8"/>
    <n v="8"/>
    <x v="0"/>
  </r>
  <r>
    <x v="2"/>
    <x v="0"/>
    <x v="49"/>
    <x v="2"/>
    <x v="2"/>
    <n v="5"/>
    <x v="0"/>
    <n v="2.2000000000000002"/>
    <n v="3.58"/>
    <n v="1.2"/>
    <x v="0"/>
    <x v="1"/>
    <x v="4"/>
    <n v="3"/>
    <n v="9"/>
    <x v="0"/>
  </r>
  <r>
    <x v="3"/>
    <x v="0"/>
    <x v="25"/>
    <x v="1"/>
    <x v="0"/>
    <n v="6.9"/>
    <x v="0"/>
    <n v="2.2999999999999998"/>
    <n v="3.16"/>
    <n v="0.9"/>
    <x v="1"/>
    <x v="2"/>
    <x v="3"/>
    <n v="1"/>
    <n v="5"/>
    <x v="0"/>
  </r>
  <r>
    <x v="3"/>
    <x v="1"/>
    <x v="8"/>
    <x v="0"/>
    <x v="1"/>
    <n v="8"/>
    <x v="1"/>
    <n v="1.4"/>
    <n v="3.64"/>
    <n v="0.4"/>
    <x v="1"/>
    <x v="2"/>
    <x v="7"/>
    <n v="5"/>
    <n v="7"/>
    <x v="0"/>
  </r>
  <r>
    <x v="2"/>
    <x v="1"/>
    <x v="63"/>
    <x v="1"/>
    <x v="0"/>
    <n v="6.9"/>
    <x v="0"/>
    <n v="2.4"/>
    <n v="3.06"/>
    <n v="1.9"/>
    <x v="0"/>
    <x v="2"/>
    <x v="6"/>
    <n v="10"/>
    <n v="8"/>
    <x v="0"/>
  </r>
  <r>
    <x v="2"/>
    <x v="1"/>
    <x v="24"/>
    <x v="2"/>
    <x v="0"/>
    <n v="8"/>
    <x v="1"/>
    <n v="2.2000000000000002"/>
    <n v="2.21"/>
    <n v="1"/>
    <x v="1"/>
    <x v="1"/>
    <x v="7"/>
    <n v="8"/>
    <n v="10"/>
    <x v="0"/>
  </r>
  <r>
    <x v="3"/>
    <x v="1"/>
    <x v="35"/>
    <x v="2"/>
    <x v="0"/>
    <n v="6.3"/>
    <x v="0"/>
    <n v="0.8"/>
    <n v="2.71"/>
    <n v="1.8"/>
    <x v="0"/>
    <x v="1"/>
    <x v="9"/>
    <n v="4"/>
    <n v="2"/>
    <x v="0"/>
  </r>
  <r>
    <x v="2"/>
    <x v="1"/>
    <x v="45"/>
    <x v="2"/>
    <x v="2"/>
    <n v="6.3"/>
    <x v="0"/>
    <n v="2.8"/>
    <n v="3.06"/>
    <n v="0.8"/>
    <x v="1"/>
    <x v="0"/>
    <x v="3"/>
    <n v="7"/>
    <n v="9"/>
    <x v="0"/>
  </r>
  <r>
    <x v="5"/>
    <x v="1"/>
    <x v="64"/>
    <x v="2"/>
    <x v="2"/>
    <n v="7.3"/>
    <x v="0"/>
    <n v="1.1000000000000001"/>
    <n v="3.1"/>
    <n v="1.6"/>
    <x v="0"/>
    <x v="2"/>
    <x v="2"/>
    <n v="6"/>
    <n v="2"/>
    <x v="0"/>
  </r>
  <r>
    <x v="6"/>
    <x v="0"/>
    <x v="5"/>
    <x v="2"/>
    <x v="0"/>
    <n v="8.3000000000000007"/>
    <x v="1"/>
    <n v="1.6"/>
    <n v="2.91"/>
    <n v="0.6"/>
    <x v="1"/>
    <x v="1"/>
    <x v="7"/>
    <n v="2"/>
    <n v="6"/>
    <x v="0"/>
  </r>
  <r>
    <x v="5"/>
    <x v="1"/>
    <x v="55"/>
    <x v="2"/>
    <x v="1"/>
    <n v="6"/>
    <x v="0"/>
    <n v="3"/>
    <n v="2.1"/>
    <n v="0.2"/>
    <x v="1"/>
    <x v="0"/>
    <x v="9"/>
    <n v="9"/>
    <n v="1"/>
    <x v="0"/>
  </r>
  <r>
    <x v="6"/>
    <x v="0"/>
    <x v="47"/>
    <x v="1"/>
    <x v="0"/>
    <n v="8.9"/>
    <x v="1"/>
    <n v="1.2"/>
    <n v="3.67"/>
    <n v="0.1"/>
    <x v="1"/>
    <x v="2"/>
    <x v="0"/>
    <n v="8"/>
    <n v="9"/>
    <x v="0"/>
  </r>
  <r>
    <x v="0"/>
    <x v="0"/>
    <x v="45"/>
    <x v="2"/>
    <x v="0"/>
    <n v="5.6"/>
    <x v="0"/>
    <n v="1.8"/>
    <n v="3.01"/>
    <n v="0.9"/>
    <x v="1"/>
    <x v="0"/>
    <x v="7"/>
    <n v="6"/>
    <n v="8"/>
    <x v="0"/>
  </r>
  <r>
    <x v="0"/>
    <x v="1"/>
    <x v="51"/>
    <x v="0"/>
    <x v="0"/>
    <n v="6.1"/>
    <x v="0"/>
    <n v="0.8"/>
    <n v="3.47"/>
    <n v="1.5"/>
    <x v="0"/>
    <x v="2"/>
    <x v="8"/>
    <n v="10"/>
    <n v="9"/>
    <x v="0"/>
  </r>
  <r>
    <x v="4"/>
    <x v="1"/>
    <x v="19"/>
    <x v="2"/>
    <x v="0"/>
    <n v="8"/>
    <x v="1"/>
    <n v="1.7"/>
    <n v="2.29"/>
    <n v="1.4"/>
    <x v="0"/>
    <x v="0"/>
    <x v="0"/>
    <n v="1"/>
    <n v="10"/>
    <x v="0"/>
  </r>
  <r>
    <x v="3"/>
    <x v="1"/>
    <x v="24"/>
    <x v="2"/>
    <x v="2"/>
    <n v="4.9000000000000004"/>
    <x v="0"/>
    <n v="3"/>
    <n v="2.99"/>
    <n v="0.9"/>
    <x v="1"/>
    <x v="2"/>
    <x v="6"/>
    <n v="8"/>
    <n v="3"/>
    <x v="0"/>
  </r>
  <r>
    <x v="5"/>
    <x v="0"/>
    <x v="21"/>
    <x v="2"/>
    <x v="2"/>
    <n v="4.0999999999999996"/>
    <x v="0"/>
    <n v="0.8"/>
    <n v="3.18"/>
    <n v="1.7"/>
    <x v="0"/>
    <x v="2"/>
    <x v="5"/>
    <n v="3"/>
    <n v="8"/>
    <x v="0"/>
  </r>
  <r>
    <x v="2"/>
    <x v="1"/>
    <x v="41"/>
    <x v="0"/>
    <x v="0"/>
    <n v="5.9"/>
    <x v="0"/>
    <n v="2.9"/>
    <n v="3.71"/>
    <n v="1.7"/>
    <x v="0"/>
    <x v="0"/>
    <x v="3"/>
    <n v="1"/>
    <n v="10"/>
    <x v="0"/>
  </r>
  <r>
    <x v="4"/>
    <x v="0"/>
    <x v="38"/>
    <x v="0"/>
    <x v="0"/>
    <n v="8"/>
    <x v="1"/>
    <n v="2.9"/>
    <n v="2.59"/>
    <n v="1.2"/>
    <x v="0"/>
    <x v="1"/>
    <x v="7"/>
    <n v="8"/>
    <n v="5"/>
    <x v="0"/>
  </r>
  <r>
    <x v="2"/>
    <x v="1"/>
    <x v="65"/>
    <x v="1"/>
    <x v="2"/>
    <n v="6.3"/>
    <x v="0"/>
    <n v="1.5"/>
    <n v="2.66"/>
    <n v="1.8"/>
    <x v="0"/>
    <x v="0"/>
    <x v="2"/>
    <n v="4"/>
    <n v="10"/>
    <x v="0"/>
  </r>
  <r>
    <x v="6"/>
    <x v="0"/>
    <x v="0"/>
    <x v="0"/>
    <x v="0"/>
    <n v="5.8"/>
    <x v="0"/>
    <n v="0.8"/>
    <n v="3.31"/>
    <n v="1.6"/>
    <x v="0"/>
    <x v="2"/>
    <x v="3"/>
    <n v="7"/>
    <n v="2"/>
    <x v="0"/>
  </r>
  <r>
    <x v="5"/>
    <x v="1"/>
    <x v="6"/>
    <x v="2"/>
    <x v="0"/>
    <n v="7.9"/>
    <x v="0"/>
    <n v="1.9"/>
    <n v="2.56"/>
    <n v="0.1"/>
    <x v="1"/>
    <x v="1"/>
    <x v="6"/>
    <n v="9"/>
    <n v="9"/>
    <x v="0"/>
  </r>
  <r>
    <x v="3"/>
    <x v="1"/>
    <x v="17"/>
    <x v="1"/>
    <x v="1"/>
    <n v="8.1"/>
    <x v="1"/>
    <n v="2"/>
    <n v="3.33"/>
    <n v="1.5"/>
    <x v="0"/>
    <x v="2"/>
    <x v="9"/>
    <n v="3"/>
    <n v="8"/>
    <x v="0"/>
  </r>
  <r>
    <x v="1"/>
    <x v="0"/>
    <x v="35"/>
    <x v="2"/>
    <x v="1"/>
    <n v="8.4"/>
    <x v="1"/>
    <n v="1.7"/>
    <n v="2.46"/>
    <n v="0.1"/>
    <x v="1"/>
    <x v="1"/>
    <x v="4"/>
    <n v="9"/>
    <n v="3"/>
    <x v="0"/>
  </r>
  <r>
    <x v="2"/>
    <x v="0"/>
    <x v="43"/>
    <x v="1"/>
    <x v="0"/>
    <n v="6.8"/>
    <x v="0"/>
    <n v="2"/>
    <n v="3.45"/>
    <n v="1.3"/>
    <x v="0"/>
    <x v="2"/>
    <x v="9"/>
    <n v="1"/>
    <n v="2"/>
    <x v="0"/>
  </r>
  <r>
    <x v="1"/>
    <x v="1"/>
    <x v="25"/>
    <x v="1"/>
    <x v="1"/>
    <n v="4.0999999999999996"/>
    <x v="0"/>
    <n v="1.6"/>
    <n v="3.15"/>
    <n v="0.9"/>
    <x v="1"/>
    <x v="2"/>
    <x v="0"/>
    <n v="6"/>
    <n v="4"/>
    <x v="0"/>
  </r>
  <r>
    <x v="5"/>
    <x v="1"/>
    <x v="5"/>
    <x v="2"/>
    <x v="1"/>
    <n v="8.9"/>
    <x v="1"/>
    <n v="2.9"/>
    <n v="2.5299999999999998"/>
    <n v="0.1"/>
    <x v="1"/>
    <x v="1"/>
    <x v="1"/>
    <n v="7"/>
    <n v="3"/>
    <x v="0"/>
  </r>
  <r>
    <x v="3"/>
    <x v="0"/>
    <x v="66"/>
    <x v="2"/>
    <x v="0"/>
    <n v="7.2"/>
    <x v="0"/>
    <n v="1.8"/>
    <n v="2.91"/>
    <n v="0.2"/>
    <x v="1"/>
    <x v="0"/>
    <x v="5"/>
    <n v="5"/>
    <n v="4"/>
    <x v="0"/>
  </r>
  <r>
    <x v="3"/>
    <x v="0"/>
    <x v="67"/>
    <x v="2"/>
    <x v="0"/>
    <n v="5.2"/>
    <x v="0"/>
    <n v="1.4"/>
    <n v="2.62"/>
    <n v="1.5"/>
    <x v="0"/>
    <x v="2"/>
    <x v="7"/>
    <n v="7"/>
    <n v="5"/>
    <x v="0"/>
  </r>
  <r>
    <x v="5"/>
    <x v="0"/>
    <x v="29"/>
    <x v="2"/>
    <x v="2"/>
    <n v="6.8"/>
    <x v="0"/>
    <n v="1"/>
    <n v="2.6"/>
    <n v="1.1000000000000001"/>
    <x v="0"/>
    <x v="2"/>
    <x v="2"/>
    <n v="5"/>
    <n v="6"/>
    <x v="0"/>
  </r>
  <r>
    <x v="4"/>
    <x v="1"/>
    <x v="68"/>
    <x v="2"/>
    <x v="2"/>
    <n v="7.9"/>
    <x v="0"/>
    <n v="2.7"/>
    <n v="3.11"/>
    <n v="0.3"/>
    <x v="1"/>
    <x v="2"/>
    <x v="4"/>
    <n v="6"/>
    <n v="5"/>
    <x v="0"/>
  </r>
  <r>
    <x v="5"/>
    <x v="0"/>
    <x v="69"/>
    <x v="2"/>
    <x v="0"/>
    <n v="8.3000000000000007"/>
    <x v="1"/>
    <n v="2.2999999999999998"/>
    <n v="3.47"/>
    <n v="1.6"/>
    <x v="0"/>
    <x v="2"/>
    <x v="6"/>
    <n v="8"/>
    <n v="5"/>
    <x v="0"/>
  </r>
  <r>
    <x v="5"/>
    <x v="0"/>
    <x v="5"/>
    <x v="2"/>
    <x v="0"/>
    <n v="6.8"/>
    <x v="0"/>
    <n v="1"/>
    <n v="3.77"/>
    <n v="1"/>
    <x v="1"/>
    <x v="1"/>
    <x v="3"/>
    <n v="9"/>
    <n v="9"/>
    <x v="0"/>
  </r>
  <r>
    <x v="4"/>
    <x v="1"/>
    <x v="1"/>
    <x v="1"/>
    <x v="1"/>
    <n v="5.8"/>
    <x v="0"/>
    <n v="1.7"/>
    <n v="3.52"/>
    <n v="0.2"/>
    <x v="1"/>
    <x v="0"/>
    <x v="4"/>
    <n v="5"/>
    <n v="1"/>
    <x v="0"/>
  </r>
  <r>
    <x v="6"/>
    <x v="0"/>
    <x v="62"/>
    <x v="2"/>
    <x v="0"/>
    <n v="7.5"/>
    <x v="0"/>
    <n v="1.4"/>
    <n v="2.58"/>
    <n v="1.2"/>
    <x v="0"/>
    <x v="0"/>
    <x v="4"/>
    <n v="2"/>
    <n v="8"/>
    <x v="0"/>
  </r>
  <r>
    <x v="6"/>
    <x v="1"/>
    <x v="52"/>
    <x v="2"/>
    <x v="1"/>
    <n v="8.3000000000000007"/>
    <x v="1"/>
    <n v="0.6"/>
    <n v="3.05"/>
    <n v="0.3"/>
    <x v="1"/>
    <x v="1"/>
    <x v="0"/>
    <n v="7"/>
    <n v="8"/>
    <x v="0"/>
  </r>
  <r>
    <x v="3"/>
    <x v="0"/>
    <x v="41"/>
    <x v="0"/>
    <x v="0"/>
    <n v="8.1"/>
    <x v="1"/>
    <n v="2.5"/>
    <n v="3.56"/>
    <n v="1.2"/>
    <x v="0"/>
    <x v="2"/>
    <x v="4"/>
    <n v="8"/>
    <n v="10"/>
    <x v="0"/>
  </r>
  <r>
    <x v="1"/>
    <x v="0"/>
    <x v="9"/>
    <x v="2"/>
    <x v="1"/>
    <n v="4.5"/>
    <x v="0"/>
    <n v="2.9"/>
    <n v="3.88"/>
    <n v="0.8"/>
    <x v="1"/>
    <x v="0"/>
    <x v="5"/>
    <n v="5"/>
    <n v="6"/>
    <x v="0"/>
  </r>
  <r>
    <x v="6"/>
    <x v="0"/>
    <x v="67"/>
    <x v="2"/>
    <x v="1"/>
    <n v="5.3"/>
    <x v="0"/>
    <n v="1.4"/>
    <n v="3.97"/>
    <n v="0"/>
    <x v="2"/>
    <x v="0"/>
    <x v="2"/>
    <n v="10"/>
    <n v="7"/>
    <x v="0"/>
  </r>
  <r>
    <x v="0"/>
    <x v="0"/>
    <x v="37"/>
    <x v="2"/>
    <x v="2"/>
    <n v="6.9"/>
    <x v="0"/>
    <n v="0.7"/>
    <n v="3.01"/>
    <n v="1.9"/>
    <x v="0"/>
    <x v="1"/>
    <x v="8"/>
    <n v="9"/>
    <n v="4"/>
    <x v="0"/>
  </r>
  <r>
    <x v="0"/>
    <x v="0"/>
    <x v="2"/>
    <x v="1"/>
    <x v="0"/>
    <n v="8.5"/>
    <x v="1"/>
    <n v="0.9"/>
    <n v="3.71"/>
    <n v="0.7"/>
    <x v="1"/>
    <x v="1"/>
    <x v="3"/>
    <n v="3"/>
    <n v="6"/>
    <x v="0"/>
  </r>
  <r>
    <x v="1"/>
    <x v="1"/>
    <x v="66"/>
    <x v="2"/>
    <x v="1"/>
    <n v="4.8"/>
    <x v="0"/>
    <n v="1.7"/>
    <n v="2.8"/>
    <n v="0.6"/>
    <x v="1"/>
    <x v="0"/>
    <x v="5"/>
    <n v="7"/>
    <n v="4"/>
    <x v="0"/>
  </r>
  <r>
    <x v="1"/>
    <x v="1"/>
    <x v="6"/>
    <x v="2"/>
    <x v="1"/>
    <n v="6.5"/>
    <x v="0"/>
    <n v="2.4"/>
    <n v="3.67"/>
    <n v="0.6"/>
    <x v="1"/>
    <x v="0"/>
    <x v="6"/>
    <n v="6"/>
    <n v="4"/>
    <x v="0"/>
  </r>
  <r>
    <x v="0"/>
    <x v="1"/>
    <x v="65"/>
    <x v="1"/>
    <x v="1"/>
    <n v="4.9000000000000004"/>
    <x v="0"/>
    <n v="1.6"/>
    <n v="2.36"/>
    <n v="1.7"/>
    <x v="0"/>
    <x v="1"/>
    <x v="3"/>
    <n v="1"/>
    <n v="6"/>
    <x v="0"/>
  </r>
  <r>
    <x v="4"/>
    <x v="1"/>
    <x v="63"/>
    <x v="1"/>
    <x v="1"/>
    <n v="6.1"/>
    <x v="0"/>
    <n v="1.6"/>
    <n v="2.56"/>
    <n v="1.2"/>
    <x v="0"/>
    <x v="1"/>
    <x v="0"/>
    <n v="7"/>
    <n v="8"/>
    <x v="0"/>
  </r>
  <r>
    <x v="1"/>
    <x v="0"/>
    <x v="21"/>
    <x v="2"/>
    <x v="1"/>
    <n v="6.5"/>
    <x v="0"/>
    <n v="3"/>
    <n v="3.5"/>
    <n v="0.1"/>
    <x v="1"/>
    <x v="1"/>
    <x v="8"/>
    <n v="10"/>
    <n v="8"/>
    <x v="0"/>
  </r>
  <r>
    <x v="0"/>
    <x v="0"/>
    <x v="55"/>
    <x v="2"/>
    <x v="0"/>
    <n v="5.3"/>
    <x v="0"/>
    <n v="1"/>
    <n v="2.2799999999999998"/>
    <n v="1.2"/>
    <x v="0"/>
    <x v="0"/>
    <x v="8"/>
    <n v="3"/>
    <n v="1"/>
    <x v="0"/>
  </r>
  <r>
    <x v="6"/>
    <x v="0"/>
    <x v="31"/>
    <x v="2"/>
    <x v="1"/>
    <n v="5.0999999999999996"/>
    <x v="0"/>
    <n v="2.5"/>
    <n v="2.62"/>
    <n v="1.3"/>
    <x v="0"/>
    <x v="0"/>
    <x v="5"/>
    <n v="4"/>
    <n v="7"/>
    <x v="0"/>
  </r>
  <r>
    <x v="1"/>
    <x v="0"/>
    <x v="54"/>
    <x v="2"/>
    <x v="2"/>
    <n v="7.1"/>
    <x v="0"/>
    <n v="0.9"/>
    <n v="2.98"/>
    <n v="0.1"/>
    <x v="1"/>
    <x v="0"/>
    <x v="2"/>
    <n v="6"/>
    <n v="5"/>
    <x v="0"/>
  </r>
  <r>
    <x v="5"/>
    <x v="0"/>
    <x v="1"/>
    <x v="1"/>
    <x v="0"/>
    <n v="7.8"/>
    <x v="0"/>
    <n v="2.1"/>
    <n v="2.2599999999999998"/>
    <n v="0.3"/>
    <x v="1"/>
    <x v="1"/>
    <x v="9"/>
    <n v="7"/>
    <n v="5"/>
    <x v="0"/>
  </r>
  <r>
    <x v="2"/>
    <x v="0"/>
    <x v="22"/>
    <x v="2"/>
    <x v="1"/>
    <n v="8.5"/>
    <x v="1"/>
    <n v="2.4"/>
    <n v="2.79"/>
    <n v="1.1000000000000001"/>
    <x v="0"/>
    <x v="0"/>
    <x v="2"/>
    <n v="6"/>
    <n v="7"/>
    <x v="0"/>
  </r>
  <r>
    <x v="0"/>
    <x v="1"/>
    <x v="26"/>
    <x v="2"/>
    <x v="0"/>
    <n v="5.0999999999999996"/>
    <x v="0"/>
    <n v="2.4"/>
    <n v="2.17"/>
    <n v="1.8"/>
    <x v="0"/>
    <x v="1"/>
    <x v="3"/>
    <n v="10"/>
    <n v="8"/>
    <x v="0"/>
  </r>
  <r>
    <x v="0"/>
    <x v="0"/>
    <x v="14"/>
    <x v="1"/>
    <x v="2"/>
    <n v="7.2"/>
    <x v="0"/>
    <n v="1.7"/>
    <n v="2.76"/>
    <n v="0"/>
    <x v="2"/>
    <x v="0"/>
    <x v="7"/>
    <n v="7"/>
    <n v="10"/>
    <x v="0"/>
  </r>
  <r>
    <x v="4"/>
    <x v="0"/>
    <x v="51"/>
    <x v="0"/>
    <x v="0"/>
    <n v="7.3"/>
    <x v="0"/>
    <n v="1.8"/>
    <n v="3.13"/>
    <n v="2"/>
    <x v="0"/>
    <x v="2"/>
    <x v="9"/>
    <n v="9"/>
    <n v="7"/>
    <x v="0"/>
  </r>
  <r>
    <x v="6"/>
    <x v="0"/>
    <x v="36"/>
    <x v="2"/>
    <x v="1"/>
    <n v="5.0999999999999996"/>
    <x v="0"/>
    <n v="2.2000000000000002"/>
    <n v="3.81"/>
    <n v="0.7"/>
    <x v="1"/>
    <x v="0"/>
    <x v="4"/>
    <n v="6"/>
    <n v="10"/>
    <x v="0"/>
  </r>
  <r>
    <x v="5"/>
    <x v="0"/>
    <x v="60"/>
    <x v="0"/>
    <x v="1"/>
    <n v="4.3"/>
    <x v="0"/>
    <n v="2.7"/>
    <n v="2.5099999999999998"/>
    <n v="0.3"/>
    <x v="1"/>
    <x v="2"/>
    <x v="3"/>
    <n v="9"/>
    <n v="10"/>
    <x v="0"/>
  </r>
  <r>
    <x v="4"/>
    <x v="0"/>
    <x v="12"/>
    <x v="2"/>
    <x v="2"/>
    <n v="8.4"/>
    <x v="1"/>
    <n v="2.4"/>
    <n v="2.84"/>
    <n v="0.7"/>
    <x v="1"/>
    <x v="0"/>
    <x v="5"/>
    <n v="4"/>
    <n v="9"/>
    <x v="0"/>
  </r>
  <r>
    <x v="1"/>
    <x v="0"/>
    <x v="17"/>
    <x v="1"/>
    <x v="1"/>
    <n v="5"/>
    <x v="0"/>
    <n v="1.5"/>
    <n v="2.09"/>
    <n v="0.6"/>
    <x v="1"/>
    <x v="2"/>
    <x v="5"/>
    <n v="2"/>
    <n v="1"/>
    <x v="0"/>
  </r>
  <r>
    <x v="5"/>
    <x v="1"/>
    <x v="22"/>
    <x v="2"/>
    <x v="2"/>
    <n v="6.2"/>
    <x v="0"/>
    <n v="1.6"/>
    <n v="2.38"/>
    <n v="0"/>
    <x v="2"/>
    <x v="2"/>
    <x v="1"/>
    <n v="4"/>
    <n v="10"/>
    <x v="0"/>
  </r>
  <r>
    <x v="2"/>
    <x v="1"/>
    <x v="10"/>
    <x v="2"/>
    <x v="2"/>
    <n v="5.0999999999999996"/>
    <x v="0"/>
    <n v="2"/>
    <n v="3.82"/>
    <n v="1.7"/>
    <x v="0"/>
    <x v="2"/>
    <x v="9"/>
    <n v="3"/>
    <n v="5"/>
    <x v="0"/>
  </r>
  <r>
    <x v="0"/>
    <x v="1"/>
    <x v="4"/>
    <x v="2"/>
    <x v="0"/>
    <n v="5.0999999999999996"/>
    <x v="0"/>
    <n v="2.2000000000000002"/>
    <n v="2.0299999999999998"/>
    <n v="1.1000000000000001"/>
    <x v="0"/>
    <x v="2"/>
    <x v="0"/>
    <n v="10"/>
    <n v="7"/>
    <x v="0"/>
  </r>
  <r>
    <x v="1"/>
    <x v="0"/>
    <x v="20"/>
    <x v="2"/>
    <x v="0"/>
    <n v="6.7"/>
    <x v="0"/>
    <n v="0.7"/>
    <n v="3.59"/>
    <n v="1.8"/>
    <x v="0"/>
    <x v="1"/>
    <x v="6"/>
    <n v="8"/>
    <n v="8"/>
    <x v="0"/>
  </r>
  <r>
    <x v="1"/>
    <x v="1"/>
    <x v="54"/>
    <x v="2"/>
    <x v="1"/>
    <n v="6"/>
    <x v="0"/>
    <n v="0.7"/>
    <n v="3.29"/>
    <n v="1.4"/>
    <x v="0"/>
    <x v="0"/>
    <x v="6"/>
    <n v="5"/>
    <n v="1"/>
    <x v="0"/>
  </r>
  <r>
    <x v="5"/>
    <x v="1"/>
    <x v="53"/>
    <x v="0"/>
    <x v="1"/>
    <n v="4.7"/>
    <x v="0"/>
    <n v="2.1"/>
    <n v="2.48"/>
    <n v="2"/>
    <x v="0"/>
    <x v="0"/>
    <x v="1"/>
    <n v="3"/>
    <n v="1"/>
    <x v="0"/>
  </r>
  <r>
    <x v="0"/>
    <x v="1"/>
    <x v="57"/>
    <x v="2"/>
    <x v="2"/>
    <n v="4.2"/>
    <x v="0"/>
    <n v="2.6"/>
    <n v="2.2799999999999998"/>
    <n v="1.3"/>
    <x v="0"/>
    <x v="2"/>
    <x v="1"/>
    <n v="10"/>
    <n v="4"/>
    <x v="0"/>
  </r>
  <r>
    <x v="2"/>
    <x v="0"/>
    <x v="16"/>
    <x v="2"/>
    <x v="0"/>
    <n v="7.6"/>
    <x v="0"/>
    <n v="2.4"/>
    <n v="3.59"/>
    <n v="0.4"/>
    <x v="1"/>
    <x v="2"/>
    <x v="8"/>
    <n v="5"/>
    <n v="5"/>
    <x v="0"/>
  </r>
  <r>
    <x v="6"/>
    <x v="1"/>
    <x v="8"/>
    <x v="0"/>
    <x v="1"/>
    <n v="7.4"/>
    <x v="0"/>
    <n v="2.2000000000000002"/>
    <n v="3.42"/>
    <n v="0.1"/>
    <x v="1"/>
    <x v="0"/>
    <x v="1"/>
    <n v="9"/>
    <n v="6"/>
    <x v="0"/>
  </r>
  <r>
    <x v="4"/>
    <x v="0"/>
    <x v="61"/>
    <x v="2"/>
    <x v="2"/>
    <n v="4.4000000000000004"/>
    <x v="0"/>
    <n v="2.1"/>
    <n v="2.23"/>
    <n v="1"/>
    <x v="1"/>
    <x v="0"/>
    <x v="1"/>
    <n v="2"/>
    <n v="5"/>
    <x v="0"/>
  </r>
  <r>
    <x v="5"/>
    <x v="0"/>
    <x v="45"/>
    <x v="2"/>
    <x v="1"/>
    <n v="8.6999999999999993"/>
    <x v="1"/>
    <n v="1.9"/>
    <n v="2.67"/>
    <n v="1.3"/>
    <x v="0"/>
    <x v="0"/>
    <x v="2"/>
    <n v="5"/>
    <n v="7"/>
    <x v="0"/>
  </r>
  <r>
    <x v="1"/>
    <x v="0"/>
    <x v="26"/>
    <x v="2"/>
    <x v="2"/>
    <n v="7.7"/>
    <x v="0"/>
    <n v="0.7"/>
    <n v="2.2200000000000002"/>
    <n v="0.4"/>
    <x v="1"/>
    <x v="2"/>
    <x v="7"/>
    <n v="8"/>
    <n v="7"/>
    <x v="0"/>
  </r>
  <r>
    <x v="6"/>
    <x v="1"/>
    <x v="0"/>
    <x v="0"/>
    <x v="0"/>
    <n v="7.2"/>
    <x v="0"/>
    <n v="1.5"/>
    <n v="2.36"/>
    <n v="0.2"/>
    <x v="1"/>
    <x v="2"/>
    <x v="0"/>
    <n v="6"/>
    <n v="8"/>
    <x v="0"/>
  </r>
  <r>
    <x v="6"/>
    <x v="0"/>
    <x v="28"/>
    <x v="2"/>
    <x v="1"/>
    <n v="7.3"/>
    <x v="0"/>
    <n v="1.6"/>
    <n v="2.91"/>
    <n v="0.4"/>
    <x v="1"/>
    <x v="0"/>
    <x v="7"/>
    <n v="5"/>
    <n v="7"/>
    <x v="0"/>
  </r>
  <r>
    <x v="6"/>
    <x v="0"/>
    <x v="46"/>
    <x v="2"/>
    <x v="0"/>
    <n v="4.5999999999999996"/>
    <x v="0"/>
    <n v="1.9"/>
    <n v="2.54"/>
    <n v="0.1"/>
    <x v="1"/>
    <x v="0"/>
    <x v="5"/>
    <n v="5"/>
    <n v="6"/>
    <x v="0"/>
  </r>
  <r>
    <x v="2"/>
    <x v="1"/>
    <x v="52"/>
    <x v="2"/>
    <x v="1"/>
    <n v="6.4"/>
    <x v="0"/>
    <n v="0.7"/>
    <n v="3.57"/>
    <n v="1.1000000000000001"/>
    <x v="0"/>
    <x v="0"/>
    <x v="0"/>
    <n v="9"/>
    <n v="6"/>
    <x v="0"/>
  </r>
  <r>
    <x v="1"/>
    <x v="0"/>
    <x v="62"/>
    <x v="2"/>
    <x v="2"/>
    <n v="7.2"/>
    <x v="0"/>
    <n v="0.9"/>
    <n v="3.99"/>
    <n v="1.7"/>
    <x v="0"/>
    <x v="0"/>
    <x v="9"/>
    <n v="9"/>
    <n v="3"/>
    <x v="0"/>
  </r>
  <r>
    <x v="1"/>
    <x v="1"/>
    <x v="43"/>
    <x v="1"/>
    <x v="1"/>
    <n v="5.0999999999999996"/>
    <x v="0"/>
    <n v="2.2000000000000002"/>
    <n v="2.13"/>
    <n v="0.9"/>
    <x v="1"/>
    <x v="0"/>
    <x v="9"/>
    <n v="7"/>
    <n v="2"/>
    <x v="0"/>
  </r>
  <r>
    <x v="4"/>
    <x v="0"/>
    <x v="50"/>
    <x v="2"/>
    <x v="1"/>
    <n v="5.0999999999999996"/>
    <x v="0"/>
    <n v="1.2"/>
    <n v="3.54"/>
    <n v="1.3"/>
    <x v="0"/>
    <x v="0"/>
    <x v="4"/>
    <n v="2"/>
    <n v="8"/>
    <x v="0"/>
  </r>
  <r>
    <x v="0"/>
    <x v="0"/>
    <x v="52"/>
    <x v="2"/>
    <x v="0"/>
    <n v="5.3"/>
    <x v="0"/>
    <n v="2.7"/>
    <n v="3.79"/>
    <n v="0.8"/>
    <x v="1"/>
    <x v="0"/>
    <x v="1"/>
    <n v="6"/>
    <n v="4"/>
    <x v="0"/>
  </r>
  <r>
    <x v="2"/>
    <x v="1"/>
    <x v="32"/>
    <x v="0"/>
    <x v="0"/>
    <n v="6.2"/>
    <x v="0"/>
    <n v="1"/>
    <n v="2.02"/>
    <n v="0.2"/>
    <x v="1"/>
    <x v="0"/>
    <x v="2"/>
    <n v="6"/>
    <n v="3"/>
    <x v="0"/>
  </r>
  <r>
    <x v="2"/>
    <x v="0"/>
    <x v="14"/>
    <x v="1"/>
    <x v="1"/>
    <n v="5.5"/>
    <x v="0"/>
    <n v="1.7"/>
    <n v="2.93"/>
    <n v="0.7"/>
    <x v="1"/>
    <x v="0"/>
    <x v="6"/>
    <n v="9"/>
    <n v="9"/>
    <x v="0"/>
  </r>
  <r>
    <x v="5"/>
    <x v="0"/>
    <x v="55"/>
    <x v="2"/>
    <x v="0"/>
    <n v="6.8"/>
    <x v="0"/>
    <n v="2.4"/>
    <n v="3.1"/>
    <n v="1.6"/>
    <x v="0"/>
    <x v="0"/>
    <x v="4"/>
    <n v="10"/>
    <n v="4"/>
    <x v="0"/>
  </r>
  <r>
    <x v="6"/>
    <x v="1"/>
    <x v="13"/>
    <x v="2"/>
    <x v="1"/>
    <n v="8.6"/>
    <x v="1"/>
    <n v="2.8"/>
    <n v="3.28"/>
    <n v="0.7"/>
    <x v="1"/>
    <x v="1"/>
    <x v="7"/>
    <n v="3"/>
    <n v="5"/>
    <x v="0"/>
  </r>
  <r>
    <x v="3"/>
    <x v="0"/>
    <x v="13"/>
    <x v="2"/>
    <x v="1"/>
    <n v="4.3"/>
    <x v="0"/>
    <n v="2.9"/>
    <n v="2.2000000000000002"/>
    <n v="1"/>
    <x v="1"/>
    <x v="1"/>
    <x v="7"/>
    <n v="9"/>
    <n v="7"/>
    <x v="0"/>
  </r>
  <r>
    <x v="2"/>
    <x v="1"/>
    <x v="20"/>
    <x v="2"/>
    <x v="0"/>
    <n v="7.4"/>
    <x v="0"/>
    <n v="1.2"/>
    <n v="3.41"/>
    <n v="1.1000000000000001"/>
    <x v="0"/>
    <x v="1"/>
    <x v="4"/>
    <n v="3"/>
    <n v="7"/>
    <x v="0"/>
  </r>
  <r>
    <x v="1"/>
    <x v="0"/>
    <x v="57"/>
    <x v="2"/>
    <x v="1"/>
    <n v="4.3"/>
    <x v="0"/>
    <n v="0.8"/>
    <n v="2.44"/>
    <n v="1"/>
    <x v="1"/>
    <x v="1"/>
    <x v="8"/>
    <n v="9"/>
    <n v="7"/>
    <x v="0"/>
  </r>
  <r>
    <x v="4"/>
    <x v="0"/>
    <x v="51"/>
    <x v="0"/>
    <x v="1"/>
    <n v="4.7"/>
    <x v="0"/>
    <n v="1.4"/>
    <n v="3.04"/>
    <n v="0.6"/>
    <x v="1"/>
    <x v="2"/>
    <x v="8"/>
    <n v="6"/>
    <n v="6"/>
    <x v="0"/>
  </r>
  <r>
    <x v="0"/>
    <x v="1"/>
    <x v="38"/>
    <x v="0"/>
    <x v="1"/>
    <n v="4.5"/>
    <x v="0"/>
    <n v="2.4"/>
    <n v="3.53"/>
    <n v="0.4"/>
    <x v="1"/>
    <x v="1"/>
    <x v="3"/>
    <n v="4"/>
    <n v="4"/>
    <x v="0"/>
  </r>
  <r>
    <x v="5"/>
    <x v="0"/>
    <x v="9"/>
    <x v="2"/>
    <x v="0"/>
    <n v="6.8"/>
    <x v="0"/>
    <n v="1"/>
    <n v="3.18"/>
    <n v="1.9"/>
    <x v="0"/>
    <x v="1"/>
    <x v="9"/>
    <n v="4"/>
    <n v="8"/>
    <x v="0"/>
  </r>
  <r>
    <x v="1"/>
    <x v="0"/>
    <x v="28"/>
    <x v="2"/>
    <x v="2"/>
    <n v="8.9"/>
    <x v="1"/>
    <n v="1.9"/>
    <n v="2.5"/>
    <n v="0.4"/>
    <x v="1"/>
    <x v="2"/>
    <x v="1"/>
    <n v="1"/>
    <n v="3"/>
    <x v="0"/>
  </r>
  <r>
    <x v="1"/>
    <x v="0"/>
    <x v="47"/>
    <x v="1"/>
    <x v="0"/>
    <n v="6.5"/>
    <x v="0"/>
    <n v="2.6"/>
    <n v="2.75"/>
    <n v="1.7"/>
    <x v="0"/>
    <x v="1"/>
    <x v="9"/>
    <n v="6"/>
    <n v="1"/>
    <x v="0"/>
  </r>
  <r>
    <x v="5"/>
    <x v="0"/>
    <x v="64"/>
    <x v="2"/>
    <x v="2"/>
    <n v="5.7"/>
    <x v="0"/>
    <n v="1"/>
    <n v="2.77"/>
    <n v="0.1"/>
    <x v="1"/>
    <x v="1"/>
    <x v="7"/>
    <n v="5"/>
    <n v="9"/>
    <x v="0"/>
  </r>
  <r>
    <x v="5"/>
    <x v="0"/>
    <x v="14"/>
    <x v="1"/>
    <x v="1"/>
    <n v="6.7"/>
    <x v="0"/>
    <n v="0.5"/>
    <n v="2.78"/>
    <n v="1.2"/>
    <x v="0"/>
    <x v="0"/>
    <x v="2"/>
    <n v="9"/>
    <n v="6"/>
    <x v="0"/>
  </r>
  <r>
    <x v="1"/>
    <x v="0"/>
    <x v="59"/>
    <x v="0"/>
    <x v="0"/>
    <n v="8.9"/>
    <x v="1"/>
    <n v="2.8"/>
    <n v="2.84"/>
    <n v="0.4"/>
    <x v="1"/>
    <x v="1"/>
    <x v="4"/>
    <n v="8"/>
    <n v="6"/>
    <x v="0"/>
  </r>
  <r>
    <x v="0"/>
    <x v="1"/>
    <x v="52"/>
    <x v="2"/>
    <x v="2"/>
    <n v="7.8"/>
    <x v="0"/>
    <n v="1.5"/>
    <n v="3.26"/>
    <n v="0.8"/>
    <x v="1"/>
    <x v="2"/>
    <x v="8"/>
    <n v="2"/>
    <n v="3"/>
    <x v="0"/>
  </r>
  <r>
    <x v="1"/>
    <x v="1"/>
    <x v="39"/>
    <x v="2"/>
    <x v="0"/>
    <n v="5.9"/>
    <x v="0"/>
    <n v="2.1"/>
    <n v="2.85"/>
    <n v="1.7"/>
    <x v="0"/>
    <x v="1"/>
    <x v="8"/>
    <n v="9"/>
    <n v="8"/>
    <x v="0"/>
  </r>
  <r>
    <x v="5"/>
    <x v="0"/>
    <x v="8"/>
    <x v="0"/>
    <x v="2"/>
    <n v="7.7"/>
    <x v="0"/>
    <n v="2.5"/>
    <n v="2.56"/>
    <n v="1.7"/>
    <x v="0"/>
    <x v="1"/>
    <x v="1"/>
    <n v="7"/>
    <n v="6"/>
    <x v="0"/>
  </r>
  <r>
    <x v="6"/>
    <x v="0"/>
    <x v="59"/>
    <x v="0"/>
    <x v="2"/>
    <n v="4.0999999999999996"/>
    <x v="0"/>
    <n v="1.9"/>
    <n v="2.2999999999999998"/>
    <n v="0.3"/>
    <x v="1"/>
    <x v="2"/>
    <x v="3"/>
    <n v="10"/>
    <n v="6"/>
    <x v="0"/>
  </r>
  <r>
    <x v="4"/>
    <x v="1"/>
    <x v="55"/>
    <x v="2"/>
    <x v="2"/>
    <n v="5.4"/>
    <x v="0"/>
    <n v="1.7"/>
    <n v="3.06"/>
    <n v="1.9"/>
    <x v="0"/>
    <x v="2"/>
    <x v="5"/>
    <n v="10"/>
    <n v="3"/>
    <x v="0"/>
  </r>
  <r>
    <x v="2"/>
    <x v="1"/>
    <x v="58"/>
    <x v="2"/>
    <x v="0"/>
    <n v="6.9"/>
    <x v="0"/>
    <n v="2.2999999999999998"/>
    <n v="3.34"/>
    <n v="0.6"/>
    <x v="1"/>
    <x v="0"/>
    <x v="5"/>
    <n v="2"/>
    <n v="9"/>
    <x v="0"/>
  </r>
  <r>
    <x v="0"/>
    <x v="1"/>
    <x v="59"/>
    <x v="0"/>
    <x v="1"/>
    <n v="7.8"/>
    <x v="0"/>
    <n v="1.1000000000000001"/>
    <n v="3.81"/>
    <n v="1.4"/>
    <x v="0"/>
    <x v="2"/>
    <x v="7"/>
    <n v="4"/>
    <n v="2"/>
    <x v="0"/>
  </r>
  <r>
    <x v="6"/>
    <x v="0"/>
    <x v="28"/>
    <x v="2"/>
    <x v="1"/>
    <n v="5.3"/>
    <x v="0"/>
    <n v="2.2999999999999998"/>
    <n v="2.42"/>
    <n v="0.2"/>
    <x v="1"/>
    <x v="0"/>
    <x v="5"/>
    <n v="9"/>
    <n v="5"/>
    <x v="0"/>
  </r>
  <r>
    <x v="5"/>
    <x v="0"/>
    <x v="18"/>
    <x v="2"/>
    <x v="2"/>
    <n v="8.9"/>
    <x v="1"/>
    <n v="2.6"/>
    <n v="2.54"/>
    <n v="1.8"/>
    <x v="0"/>
    <x v="1"/>
    <x v="4"/>
    <n v="2"/>
    <n v="5"/>
    <x v="0"/>
  </r>
  <r>
    <x v="1"/>
    <x v="1"/>
    <x v="35"/>
    <x v="2"/>
    <x v="1"/>
    <n v="6.7"/>
    <x v="0"/>
    <n v="2.7"/>
    <n v="3.4"/>
    <n v="1.2"/>
    <x v="0"/>
    <x v="0"/>
    <x v="6"/>
    <n v="6"/>
    <n v="7"/>
    <x v="0"/>
  </r>
  <r>
    <x v="0"/>
    <x v="1"/>
    <x v="57"/>
    <x v="2"/>
    <x v="2"/>
    <n v="7.3"/>
    <x v="0"/>
    <n v="2.7"/>
    <n v="3.3"/>
    <n v="1.1000000000000001"/>
    <x v="0"/>
    <x v="0"/>
    <x v="0"/>
    <n v="1"/>
    <n v="9"/>
    <x v="0"/>
  </r>
  <r>
    <x v="0"/>
    <x v="1"/>
    <x v="47"/>
    <x v="1"/>
    <x v="2"/>
    <n v="8.1999999999999993"/>
    <x v="1"/>
    <n v="2.2000000000000002"/>
    <n v="3.36"/>
    <n v="1.7"/>
    <x v="0"/>
    <x v="1"/>
    <x v="8"/>
    <n v="5"/>
    <n v="10"/>
    <x v="0"/>
  </r>
  <r>
    <x v="2"/>
    <x v="0"/>
    <x v="40"/>
    <x v="2"/>
    <x v="2"/>
    <n v="7.7"/>
    <x v="0"/>
    <n v="1"/>
    <n v="2.1"/>
    <n v="1.8"/>
    <x v="0"/>
    <x v="1"/>
    <x v="9"/>
    <n v="4"/>
    <n v="5"/>
    <x v="0"/>
  </r>
  <r>
    <x v="0"/>
    <x v="1"/>
    <x v="57"/>
    <x v="2"/>
    <x v="1"/>
    <n v="5.7"/>
    <x v="0"/>
    <n v="1"/>
    <n v="3.2"/>
    <n v="1.9"/>
    <x v="0"/>
    <x v="1"/>
    <x v="6"/>
    <n v="2"/>
    <n v="2"/>
    <x v="0"/>
  </r>
  <r>
    <x v="6"/>
    <x v="1"/>
    <x v="23"/>
    <x v="2"/>
    <x v="0"/>
    <n v="8.6999999999999993"/>
    <x v="1"/>
    <n v="1.9"/>
    <n v="2.2799999999999998"/>
    <n v="1.2"/>
    <x v="0"/>
    <x v="2"/>
    <x v="9"/>
    <n v="7"/>
    <n v="9"/>
    <x v="0"/>
  </r>
  <r>
    <x v="2"/>
    <x v="0"/>
    <x v="8"/>
    <x v="0"/>
    <x v="1"/>
    <n v="8.8000000000000007"/>
    <x v="1"/>
    <n v="2.5"/>
    <n v="3.97"/>
    <n v="1.9"/>
    <x v="0"/>
    <x v="0"/>
    <x v="2"/>
    <n v="3"/>
    <n v="9"/>
    <x v="0"/>
  </r>
  <r>
    <x v="1"/>
    <x v="0"/>
    <x v="57"/>
    <x v="2"/>
    <x v="2"/>
    <n v="6.4"/>
    <x v="0"/>
    <n v="0.9"/>
    <n v="2.72"/>
    <n v="0.2"/>
    <x v="1"/>
    <x v="2"/>
    <x v="4"/>
    <n v="9"/>
    <n v="8"/>
    <x v="0"/>
  </r>
  <r>
    <x v="0"/>
    <x v="0"/>
    <x v="8"/>
    <x v="0"/>
    <x v="1"/>
    <n v="4.8"/>
    <x v="0"/>
    <n v="1.4"/>
    <n v="2.36"/>
    <n v="0.1"/>
    <x v="1"/>
    <x v="0"/>
    <x v="5"/>
    <n v="7"/>
    <n v="1"/>
    <x v="0"/>
  </r>
  <r>
    <x v="6"/>
    <x v="0"/>
    <x v="45"/>
    <x v="2"/>
    <x v="0"/>
    <n v="6.5"/>
    <x v="0"/>
    <n v="0.8"/>
    <n v="3.17"/>
    <n v="0.3"/>
    <x v="1"/>
    <x v="2"/>
    <x v="7"/>
    <n v="3"/>
    <n v="3"/>
    <x v="0"/>
  </r>
  <r>
    <x v="5"/>
    <x v="0"/>
    <x v="14"/>
    <x v="1"/>
    <x v="1"/>
    <n v="4.0999999999999996"/>
    <x v="0"/>
    <n v="1.3"/>
    <n v="3.67"/>
    <n v="1.2"/>
    <x v="0"/>
    <x v="1"/>
    <x v="7"/>
    <n v="6"/>
    <n v="6"/>
    <x v="0"/>
  </r>
  <r>
    <x v="3"/>
    <x v="1"/>
    <x v="47"/>
    <x v="1"/>
    <x v="0"/>
    <n v="8"/>
    <x v="1"/>
    <n v="2.8"/>
    <n v="3.49"/>
    <n v="0.6"/>
    <x v="1"/>
    <x v="0"/>
    <x v="8"/>
    <n v="8"/>
    <n v="8"/>
    <x v="0"/>
  </r>
  <r>
    <x v="2"/>
    <x v="1"/>
    <x v="68"/>
    <x v="2"/>
    <x v="1"/>
    <n v="5.3"/>
    <x v="0"/>
    <n v="0.7"/>
    <n v="2.09"/>
    <n v="0.8"/>
    <x v="1"/>
    <x v="1"/>
    <x v="1"/>
    <n v="8"/>
    <n v="10"/>
    <x v="0"/>
  </r>
  <r>
    <x v="6"/>
    <x v="0"/>
    <x v="31"/>
    <x v="2"/>
    <x v="2"/>
    <n v="8.3000000000000007"/>
    <x v="1"/>
    <n v="1.3"/>
    <n v="2.21"/>
    <n v="1.2"/>
    <x v="0"/>
    <x v="1"/>
    <x v="6"/>
    <n v="5"/>
    <n v="9"/>
    <x v="0"/>
  </r>
  <r>
    <x v="1"/>
    <x v="0"/>
    <x v="31"/>
    <x v="2"/>
    <x v="2"/>
    <n v="6.7"/>
    <x v="0"/>
    <n v="2.4"/>
    <n v="2.2000000000000002"/>
    <n v="1.3"/>
    <x v="0"/>
    <x v="0"/>
    <x v="5"/>
    <n v="2"/>
    <n v="2"/>
    <x v="0"/>
  </r>
  <r>
    <x v="2"/>
    <x v="1"/>
    <x v="43"/>
    <x v="1"/>
    <x v="0"/>
    <n v="9"/>
    <x v="1"/>
    <n v="2.9"/>
    <n v="2.74"/>
    <n v="1"/>
    <x v="1"/>
    <x v="2"/>
    <x v="0"/>
    <n v="8"/>
    <n v="2"/>
    <x v="0"/>
  </r>
  <r>
    <x v="6"/>
    <x v="0"/>
    <x v="2"/>
    <x v="1"/>
    <x v="1"/>
    <n v="7.8"/>
    <x v="0"/>
    <n v="2.6"/>
    <n v="3.01"/>
    <n v="0.3"/>
    <x v="1"/>
    <x v="0"/>
    <x v="0"/>
    <n v="9"/>
    <n v="10"/>
    <x v="0"/>
  </r>
  <r>
    <x v="2"/>
    <x v="1"/>
    <x v="57"/>
    <x v="2"/>
    <x v="0"/>
    <n v="6"/>
    <x v="0"/>
    <n v="1.2"/>
    <n v="2.48"/>
    <n v="0.9"/>
    <x v="1"/>
    <x v="2"/>
    <x v="4"/>
    <n v="2"/>
    <n v="6"/>
    <x v="0"/>
  </r>
  <r>
    <x v="6"/>
    <x v="0"/>
    <x v="53"/>
    <x v="0"/>
    <x v="0"/>
    <n v="5"/>
    <x v="0"/>
    <n v="1.8"/>
    <n v="3.57"/>
    <n v="1.5"/>
    <x v="0"/>
    <x v="2"/>
    <x v="1"/>
    <n v="10"/>
    <n v="3"/>
    <x v="1"/>
  </r>
  <r>
    <x v="0"/>
    <x v="1"/>
    <x v="42"/>
    <x v="2"/>
    <x v="1"/>
    <n v="6.4"/>
    <x v="0"/>
    <n v="0.9"/>
    <n v="2.04"/>
    <n v="1.3"/>
    <x v="0"/>
    <x v="2"/>
    <x v="5"/>
    <n v="5"/>
    <n v="9"/>
    <x v="0"/>
  </r>
  <r>
    <x v="0"/>
    <x v="1"/>
    <x v="29"/>
    <x v="2"/>
    <x v="0"/>
    <n v="6.8"/>
    <x v="0"/>
    <n v="0.8"/>
    <n v="3"/>
    <n v="0.9"/>
    <x v="1"/>
    <x v="0"/>
    <x v="6"/>
    <n v="3"/>
    <n v="4"/>
    <x v="0"/>
  </r>
  <r>
    <x v="6"/>
    <x v="0"/>
    <x v="41"/>
    <x v="0"/>
    <x v="0"/>
    <n v="8.6"/>
    <x v="1"/>
    <n v="1.9"/>
    <n v="3.33"/>
    <n v="0.9"/>
    <x v="1"/>
    <x v="2"/>
    <x v="9"/>
    <n v="3"/>
    <n v="10"/>
    <x v="0"/>
  </r>
  <r>
    <x v="3"/>
    <x v="1"/>
    <x v="16"/>
    <x v="2"/>
    <x v="0"/>
    <n v="7"/>
    <x v="0"/>
    <n v="2.2000000000000002"/>
    <n v="2.61"/>
    <n v="0.7"/>
    <x v="1"/>
    <x v="1"/>
    <x v="0"/>
    <n v="7"/>
    <n v="8"/>
    <x v="0"/>
  </r>
  <r>
    <x v="0"/>
    <x v="0"/>
    <x v="55"/>
    <x v="2"/>
    <x v="0"/>
    <n v="4.8"/>
    <x v="0"/>
    <n v="1.9"/>
    <n v="3.97"/>
    <n v="0.2"/>
    <x v="1"/>
    <x v="1"/>
    <x v="6"/>
    <n v="6"/>
    <n v="6"/>
    <x v="0"/>
  </r>
  <r>
    <x v="3"/>
    <x v="0"/>
    <x v="58"/>
    <x v="2"/>
    <x v="0"/>
    <n v="8.6"/>
    <x v="1"/>
    <n v="1.5"/>
    <n v="3.27"/>
    <n v="0.8"/>
    <x v="1"/>
    <x v="2"/>
    <x v="7"/>
    <n v="10"/>
    <n v="4"/>
    <x v="0"/>
  </r>
  <r>
    <x v="2"/>
    <x v="0"/>
    <x v="53"/>
    <x v="0"/>
    <x v="1"/>
    <n v="7.1"/>
    <x v="0"/>
    <n v="0.8"/>
    <n v="2.79"/>
    <n v="1.4"/>
    <x v="0"/>
    <x v="2"/>
    <x v="8"/>
    <n v="4"/>
    <n v="2"/>
    <x v="0"/>
  </r>
  <r>
    <x v="0"/>
    <x v="1"/>
    <x v="53"/>
    <x v="0"/>
    <x v="0"/>
    <n v="4.3"/>
    <x v="0"/>
    <n v="2.6"/>
    <n v="3.33"/>
    <n v="2"/>
    <x v="0"/>
    <x v="1"/>
    <x v="3"/>
    <n v="7"/>
    <n v="3"/>
    <x v="0"/>
  </r>
  <r>
    <x v="3"/>
    <x v="1"/>
    <x v="24"/>
    <x v="2"/>
    <x v="1"/>
    <n v="9"/>
    <x v="1"/>
    <n v="1.5"/>
    <n v="3.04"/>
    <n v="1.5"/>
    <x v="0"/>
    <x v="0"/>
    <x v="6"/>
    <n v="2"/>
    <n v="7"/>
    <x v="0"/>
  </r>
  <r>
    <x v="6"/>
    <x v="1"/>
    <x v="32"/>
    <x v="0"/>
    <x v="0"/>
    <n v="6.4"/>
    <x v="0"/>
    <n v="2.2999999999999998"/>
    <n v="2.5299999999999998"/>
    <n v="0.7"/>
    <x v="1"/>
    <x v="0"/>
    <x v="8"/>
    <n v="9"/>
    <n v="4"/>
    <x v="0"/>
  </r>
  <r>
    <x v="1"/>
    <x v="0"/>
    <x v="24"/>
    <x v="2"/>
    <x v="0"/>
    <n v="4.4000000000000004"/>
    <x v="0"/>
    <n v="1.1000000000000001"/>
    <n v="2.29"/>
    <n v="1"/>
    <x v="1"/>
    <x v="0"/>
    <x v="4"/>
    <n v="8"/>
    <n v="5"/>
    <x v="0"/>
  </r>
  <r>
    <x v="1"/>
    <x v="1"/>
    <x v="46"/>
    <x v="2"/>
    <x v="1"/>
    <n v="8.1"/>
    <x v="1"/>
    <n v="3"/>
    <n v="2.75"/>
    <n v="0.7"/>
    <x v="1"/>
    <x v="2"/>
    <x v="4"/>
    <n v="3"/>
    <n v="4"/>
    <x v="0"/>
  </r>
  <r>
    <x v="6"/>
    <x v="1"/>
    <x v="48"/>
    <x v="0"/>
    <x v="0"/>
    <n v="5.4"/>
    <x v="0"/>
    <n v="2.8"/>
    <n v="3.1"/>
    <n v="1.9"/>
    <x v="0"/>
    <x v="1"/>
    <x v="4"/>
    <n v="10"/>
    <n v="10"/>
    <x v="0"/>
  </r>
  <r>
    <x v="6"/>
    <x v="1"/>
    <x v="2"/>
    <x v="1"/>
    <x v="0"/>
    <n v="8.9"/>
    <x v="1"/>
    <n v="2.6"/>
    <n v="3.54"/>
    <n v="1.2"/>
    <x v="0"/>
    <x v="1"/>
    <x v="1"/>
    <n v="5"/>
    <n v="2"/>
    <x v="0"/>
  </r>
  <r>
    <x v="3"/>
    <x v="1"/>
    <x v="62"/>
    <x v="2"/>
    <x v="2"/>
    <n v="6.9"/>
    <x v="0"/>
    <n v="1.4"/>
    <n v="3.62"/>
    <n v="1.5"/>
    <x v="0"/>
    <x v="2"/>
    <x v="3"/>
    <n v="9"/>
    <n v="1"/>
    <x v="0"/>
  </r>
  <r>
    <x v="0"/>
    <x v="1"/>
    <x v="23"/>
    <x v="2"/>
    <x v="0"/>
    <n v="8.8000000000000007"/>
    <x v="1"/>
    <n v="0.9"/>
    <n v="3.61"/>
    <n v="0.7"/>
    <x v="1"/>
    <x v="1"/>
    <x v="7"/>
    <n v="2"/>
    <n v="3"/>
    <x v="0"/>
  </r>
  <r>
    <x v="1"/>
    <x v="1"/>
    <x v="63"/>
    <x v="1"/>
    <x v="0"/>
    <n v="6.6"/>
    <x v="0"/>
    <n v="1.8"/>
    <n v="3.07"/>
    <n v="0"/>
    <x v="2"/>
    <x v="0"/>
    <x v="5"/>
    <n v="2"/>
    <n v="6"/>
    <x v="0"/>
  </r>
  <r>
    <x v="6"/>
    <x v="1"/>
    <x v="31"/>
    <x v="2"/>
    <x v="2"/>
    <n v="6.7"/>
    <x v="0"/>
    <n v="0.8"/>
    <n v="3.9"/>
    <n v="1.9"/>
    <x v="0"/>
    <x v="1"/>
    <x v="3"/>
    <n v="3"/>
    <n v="10"/>
    <x v="0"/>
  </r>
  <r>
    <x v="3"/>
    <x v="0"/>
    <x v="60"/>
    <x v="0"/>
    <x v="1"/>
    <n v="7.9"/>
    <x v="0"/>
    <n v="0.8"/>
    <n v="3.55"/>
    <n v="1.9"/>
    <x v="0"/>
    <x v="1"/>
    <x v="7"/>
    <n v="8"/>
    <n v="6"/>
    <x v="0"/>
  </r>
  <r>
    <x v="5"/>
    <x v="0"/>
    <x v="0"/>
    <x v="0"/>
    <x v="2"/>
    <n v="5.5"/>
    <x v="0"/>
    <n v="0.6"/>
    <n v="3.65"/>
    <n v="1.4"/>
    <x v="0"/>
    <x v="0"/>
    <x v="2"/>
    <n v="4"/>
    <n v="1"/>
    <x v="0"/>
  </r>
  <r>
    <x v="3"/>
    <x v="0"/>
    <x v="49"/>
    <x v="2"/>
    <x v="0"/>
    <n v="4.0999999999999996"/>
    <x v="0"/>
    <n v="2.8"/>
    <n v="3.79"/>
    <n v="0.8"/>
    <x v="1"/>
    <x v="2"/>
    <x v="8"/>
    <n v="7"/>
    <n v="3"/>
    <x v="1"/>
  </r>
  <r>
    <x v="4"/>
    <x v="0"/>
    <x v="31"/>
    <x v="2"/>
    <x v="1"/>
    <n v="7.4"/>
    <x v="0"/>
    <n v="1.5"/>
    <n v="2.92"/>
    <n v="0.6"/>
    <x v="1"/>
    <x v="0"/>
    <x v="8"/>
    <n v="2"/>
    <n v="5"/>
    <x v="0"/>
  </r>
  <r>
    <x v="6"/>
    <x v="1"/>
    <x v="8"/>
    <x v="0"/>
    <x v="2"/>
    <n v="6.7"/>
    <x v="0"/>
    <n v="0.9"/>
    <n v="2.36"/>
    <n v="0.6"/>
    <x v="1"/>
    <x v="0"/>
    <x v="1"/>
    <n v="8"/>
    <n v="1"/>
    <x v="0"/>
  </r>
  <r>
    <x v="4"/>
    <x v="1"/>
    <x v="36"/>
    <x v="2"/>
    <x v="2"/>
    <n v="4.5999999999999996"/>
    <x v="0"/>
    <n v="2.2999999999999998"/>
    <n v="3.03"/>
    <n v="0.3"/>
    <x v="1"/>
    <x v="0"/>
    <x v="4"/>
    <n v="1"/>
    <n v="9"/>
    <x v="0"/>
  </r>
  <r>
    <x v="1"/>
    <x v="0"/>
    <x v="14"/>
    <x v="1"/>
    <x v="0"/>
    <n v="7.3"/>
    <x v="0"/>
    <n v="2.7"/>
    <n v="2.61"/>
    <n v="0.9"/>
    <x v="1"/>
    <x v="0"/>
    <x v="5"/>
    <n v="7"/>
    <n v="10"/>
    <x v="0"/>
  </r>
  <r>
    <x v="0"/>
    <x v="0"/>
    <x v="45"/>
    <x v="2"/>
    <x v="2"/>
    <n v="8.1"/>
    <x v="1"/>
    <n v="1.8"/>
    <n v="2.5299999999999998"/>
    <n v="0.9"/>
    <x v="1"/>
    <x v="2"/>
    <x v="5"/>
    <n v="8"/>
    <n v="8"/>
    <x v="0"/>
  </r>
  <r>
    <x v="6"/>
    <x v="0"/>
    <x v="8"/>
    <x v="0"/>
    <x v="1"/>
    <n v="4.0999999999999996"/>
    <x v="0"/>
    <n v="1.3"/>
    <n v="2.4900000000000002"/>
    <n v="1.8"/>
    <x v="0"/>
    <x v="2"/>
    <x v="5"/>
    <n v="5"/>
    <n v="4"/>
    <x v="0"/>
  </r>
  <r>
    <x v="3"/>
    <x v="1"/>
    <x v="59"/>
    <x v="0"/>
    <x v="0"/>
    <n v="5.9"/>
    <x v="0"/>
    <n v="1.3"/>
    <n v="2.91"/>
    <n v="1.2"/>
    <x v="0"/>
    <x v="0"/>
    <x v="7"/>
    <n v="2"/>
    <n v="6"/>
    <x v="0"/>
  </r>
  <r>
    <x v="2"/>
    <x v="1"/>
    <x v="41"/>
    <x v="0"/>
    <x v="1"/>
    <n v="6.7"/>
    <x v="0"/>
    <n v="1.1000000000000001"/>
    <n v="3.77"/>
    <n v="0.6"/>
    <x v="1"/>
    <x v="1"/>
    <x v="3"/>
    <n v="8"/>
    <n v="6"/>
    <x v="0"/>
  </r>
  <r>
    <x v="0"/>
    <x v="0"/>
    <x v="63"/>
    <x v="1"/>
    <x v="2"/>
    <n v="7"/>
    <x v="0"/>
    <n v="1.8"/>
    <n v="2.69"/>
    <n v="0.9"/>
    <x v="1"/>
    <x v="0"/>
    <x v="7"/>
    <n v="4"/>
    <n v="2"/>
    <x v="0"/>
  </r>
  <r>
    <x v="5"/>
    <x v="1"/>
    <x v="61"/>
    <x v="2"/>
    <x v="0"/>
    <n v="8.1"/>
    <x v="1"/>
    <n v="1.4"/>
    <n v="3.27"/>
    <n v="1.6"/>
    <x v="0"/>
    <x v="0"/>
    <x v="7"/>
    <n v="1"/>
    <n v="4"/>
    <x v="0"/>
  </r>
  <r>
    <x v="5"/>
    <x v="1"/>
    <x v="63"/>
    <x v="1"/>
    <x v="2"/>
    <n v="5.2"/>
    <x v="0"/>
    <n v="1.7"/>
    <n v="3.82"/>
    <n v="0.7"/>
    <x v="1"/>
    <x v="0"/>
    <x v="7"/>
    <n v="4"/>
    <n v="3"/>
    <x v="0"/>
  </r>
  <r>
    <x v="6"/>
    <x v="0"/>
    <x v="45"/>
    <x v="2"/>
    <x v="0"/>
    <n v="4.0999999999999996"/>
    <x v="0"/>
    <n v="2"/>
    <n v="3.82"/>
    <n v="1.9"/>
    <x v="0"/>
    <x v="2"/>
    <x v="4"/>
    <n v="10"/>
    <n v="8"/>
    <x v="0"/>
  </r>
  <r>
    <x v="6"/>
    <x v="1"/>
    <x v="56"/>
    <x v="2"/>
    <x v="0"/>
    <n v="8.1999999999999993"/>
    <x v="1"/>
    <n v="0.9"/>
    <n v="2.48"/>
    <n v="0.5"/>
    <x v="1"/>
    <x v="1"/>
    <x v="0"/>
    <n v="7"/>
    <n v="6"/>
    <x v="0"/>
  </r>
  <r>
    <x v="0"/>
    <x v="0"/>
    <x v="27"/>
    <x v="2"/>
    <x v="2"/>
    <n v="4.3"/>
    <x v="0"/>
    <n v="1.1000000000000001"/>
    <n v="3.8"/>
    <n v="0.4"/>
    <x v="1"/>
    <x v="2"/>
    <x v="8"/>
    <n v="4"/>
    <n v="10"/>
    <x v="0"/>
  </r>
  <r>
    <x v="6"/>
    <x v="1"/>
    <x v="57"/>
    <x v="2"/>
    <x v="0"/>
    <n v="4.3"/>
    <x v="0"/>
    <n v="1.9"/>
    <n v="3.51"/>
    <n v="0.9"/>
    <x v="1"/>
    <x v="2"/>
    <x v="1"/>
    <n v="4"/>
    <n v="3"/>
    <x v="0"/>
  </r>
  <r>
    <x v="6"/>
    <x v="0"/>
    <x v="18"/>
    <x v="2"/>
    <x v="2"/>
    <n v="8.6"/>
    <x v="1"/>
    <n v="0.8"/>
    <n v="3.08"/>
    <n v="0.4"/>
    <x v="1"/>
    <x v="0"/>
    <x v="9"/>
    <n v="10"/>
    <n v="6"/>
    <x v="0"/>
  </r>
  <r>
    <x v="4"/>
    <x v="0"/>
    <x v="17"/>
    <x v="1"/>
    <x v="0"/>
    <n v="6.4"/>
    <x v="0"/>
    <n v="1.3"/>
    <n v="3.03"/>
    <n v="1"/>
    <x v="1"/>
    <x v="0"/>
    <x v="5"/>
    <n v="9"/>
    <n v="10"/>
    <x v="0"/>
  </r>
  <r>
    <x v="0"/>
    <x v="0"/>
    <x v="69"/>
    <x v="2"/>
    <x v="1"/>
    <n v="7.3"/>
    <x v="0"/>
    <n v="1.4"/>
    <n v="2.61"/>
    <n v="1.2"/>
    <x v="0"/>
    <x v="1"/>
    <x v="5"/>
    <n v="7"/>
    <n v="1"/>
    <x v="0"/>
  </r>
  <r>
    <x v="3"/>
    <x v="0"/>
    <x v="21"/>
    <x v="2"/>
    <x v="2"/>
    <n v="7.8"/>
    <x v="0"/>
    <n v="3"/>
    <n v="2.2999999999999998"/>
    <n v="1.4"/>
    <x v="0"/>
    <x v="2"/>
    <x v="6"/>
    <n v="9"/>
    <n v="10"/>
    <x v="0"/>
  </r>
  <r>
    <x v="6"/>
    <x v="1"/>
    <x v="63"/>
    <x v="1"/>
    <x v="2"/>
    <n v="7.4"/>
    <x v="0"/>
    <n v="0.5"/>
    <n v="2.3199999999999998"/>
    <n v="1.3"/>
    <x v="0"/>
    <x v="0"/>
    <x v="3"/>
    <n v="2"/>
    <n v="6"/>
    <x v="0"/>
  </r>
  <r>
    <x v="6"/>
    <x v="1"/>
    <x v="58"/>
    <x v="2"/>
    <x v="0"/>
    <n v="7"/>
    <x v="0"/>
    <n v="0.9"/>
    <n v="2.73"/>
    <n v="1.7"/>
    <x v="0"/>
    <x v="1"/>
    <x v="5"/>
    <n v="6"/>
    <n v="9"/>
    <x v="0"/>
  </r>
  <r>
    <x v="0"/>
    <x v="0"/>
    <x v="66"/>
    <x v="2"/>
    <x v="0"/>
    <n v="5"/>
    <x v="0"/>
    <n v="2.5"/>
    <n v="3.92"/>
    <n v="1.8"/>
    <x v="0"/>
    <x v="1"/>
    <x v="2"/>
    <n v="3"/>
    <n v="4"/>
    <x v="0"/>
  </r>
  <r>
    <x v="0"/>
    <x v="0"/>
    <x v="59"/>
    <x v="0"/>
    <x v="1"/>
    <n v="6.9"/>
    <x v="0"/>
    <n v="1"/>
    <n v="3.93"/>
    <n v="1.1000000000000001"/>
    <x v="0"/>
    <x v="1"/>
    <x v="8"/>
    <n v="3"/>
    <n v="7"/>
    <x v="0"/>
  </r>
  <r>
    <x v="6"/>
    <x v="1"/>
    <x v="25"/>
    <x v="1"/>
    <x v="2"/>
    <n v="8.4"/>
    <x v="1"/>
    <n v="1.4"/>
    <n v="3.47"/>
    <n v="0.1"/>
    <x v="1"/>
    <x v="2"/>
    <x v="2"/>
    <n v="6"/>
    <n v="6"/>
    <x v="0"/>
  </r>
  <r>
    <x v="3"/>
    <x v="1"/>
    <x v="64"/>
    <x v="2"/>
    <x v="0"/>
    <n v="8.4"/>
    <x v="1"/>
    <n v="1.2"/>
    <n v="2.61"/>
    <n v="0"/>
    <x v="2"/>
    <x v="2"/>
    <x v="3"/>
    <n v="10"/>
    <n v="2"/>
    <x v="0"/>
  </r>
  <r>
    <x v="2"/>
    <x v="0"/>
    <x v="9"/>
    <x v="2"/>
    <x v="0"/>
    <n v="8.6"/>
    <x v="1"/>
    <n v="3"/>
    <n v="3.62"/>
    <n v="1.2"/>
    <x v="0"/>
    <x v="0"/>
    <x v="4"/>
    <n v="6"/>
    <n v="9"/>
    <x v="0"/>
  </r>
  <r>
    <x v="0"/>
    <x v="1"/>
    <x v="13"/>
    <x v="2"/>
    <x v="0"/>
    <n v="4.0999999999999996"/>
    <x v="0"/>
    <n v="2.9"/>
    <n v="2.83"/>
    <n v="0.5"/>
    <x v="1"/>
    <x v="2"/>
    <x v="7"/>
    <n v="6"/>
    <n v="7"/>
    <x v="0"/>
  </r>
  <r>
    <x v="1"/>
    <x v="0"/>
    <x v="47"/>
    <x v="1"/>
    <x v="1"/>
    <n v="6"/>
    <x v="0"/>
    <n v="2.2999999999999998"/>
    <n v="3.22"/>
    <n v="1"/>
    <x v="1"/>
    <x v="2"/>
    <x v="5"/>
    <n v="6"/>
    <n v="8"/>
    <x v="0"/>
  </r>
  <r>
    <x v="2"/>
    <x v="1"/>
    <x v="26"/>
    <x v="2"/>
    <x v="0"/>
    <n v="5.4"/>
    <x v="0"/>
    <n v="2.6"/>
    <n v="2.0699999999999998"/>
    <n v="0"/>
    <x v="2"/>
    <x v="2"/>
    <x v="4"/>
    <n v="5"/>
    <n v="6"/>
    <x v="0"/>
  </r>
  <r>
    <x v="3"/>
    <x v="1"/>
    <x v="17"/>
    <x v="1"/>
    <x v="0"/>
    <n v="5.2"/>
    <x v="0"/>
    <n v="1"/>
    <n v="2.78"/>
    <n v="1.3"/>
    <x v="0"/>
    <x v="1"/>
    <x v="5"/>
    <n v="8"/>
    <n v="10"/>
    <x v="0"/>
  </r>
  <r>
    <x v="4"/>
    <x v="1"/>
    <x v="10"/>
    <x v="2"/>
    <x v="2"/>
    <n v="6.7"/>
    <x v="0"/>
    <n v="1.4"/>
    <n v="3.42"/>
    <n v="0.9"/>
    <x v="1"/>
    <x v="0"/>
    <x v="4"/>
    <n v="8"/>
    <n v="6"/>
    <x v="0"/>
  </r>
  <r>
    <x v="4"/>
    <x v="0"/>
    <x v="25"/>
    <x v="1"/>
    <x v="1"/>
    <n v="6.2"/>
    <x v="0"/>
    <n v="1.9"/>
    <n v="2.0499999999999998"/>
    <n v="0.3"/>
    <x v="1"/>
    <x v="0"/>
    <x v="1"/>
    <n v="9"/>
    <n v="9"/>
    <x v="0"/>
  </r>
  <r>
    <x v="4"/>
    <x v="1"/>
    <x v="49"/>
    <x v="2"/>
    <x v="1"/>
    <n v="7.4"/>
    <x v="0"/>
    <n v="1.3"/>
    <n v="3.5"/>
    <n v="1.6"/>
    <x v="0"/>
    <x v="1"/>
    <x v="2"/>
    <n v="5"/>
    <n v="5"/>
    <x v="0"/>
  </r>
  <r>
    <x v="6"/>
    <x v="1"/>
    <x v="33"/>
    <x v="2"/>
    <x v="1"/>
    <n v="8.1999999999999993"/>
    <x v="1"/>
    <n v="2.8"/>
    <n v="2.12"/>
    <n v="1.4"/>
    <x v="0"/>
    <x v="2"/>
    <x v="2"/>
    <n v="8"/>
    <n v="1"/>
    <x v="0"/>
  </r>
  <r>
    <x v="0"/>
    <x v="0"/>
    <x v="19"/>
    <x v="2"/>
    <x v="1"/>
    <n v="5.0999999999999996"/>
    <x v="0"/>
    <n v="2"/>
    <n v="3.51"/>
    <n v="0.7"/>
    <x v="1"/>
    <x v="1"/>
    <x v="0"/>
    <n v="9"/>
    <n v="1"/>
    <x v="0"/>
  </r>
  <r>
    <x v="1"/>
    <x v="1"/>
    <x v="45"/>
    <x v="2"/>
    <x v="1"/>
    <n v="4.4000000000000004"/>
    <x v="0"/>
    <n v="2.2999999999999998"/>
    <n v="3.34"/>
    <n v="0.4"/>
    <x v="1"/>
    <x v="1"/>
    <x v="3"/>
    <n v="3"/>
    <n v="8"/>
    <x v="0"/>
  </r>
  <r>
    <x v="6"/>
    <x v="0"/>
    <x v="22"/>
    <x v="2"/>
    <x v="1"/>
    <n v="8.4"/>
    <x v="1"/>
    <n v="1.6"/>
    <n v="2.82"/>
    <n v="1.1000000000000001"/>
    <x v="0"/>
    <x v="0"/>
    <x v="2"/>
    <n v="3"/>
    <n v="2"/>
    <x v="0"/>
  </r>
  <r>
    <x v="4"/>
    <x v="0"/>
    <x v="65"/>
    <x v="1"/>
    <x v="2"/>
    <n v="5.6"/>
    <x v="0"/>
    <n v="1.4"/>
    <n v="2.85"/>
    <n v="1"/>
    <x v="1"/>
    <x v="1"/>
    <x v="3"/>
    <n v="3"/>
    <n v="7"/>
    <x v="0"/>
  </r>
  <r>
    <x v="4"/>
    <x v="0"/>
    <x v="54"/>
    <x v="2"/>
    <x v="2"/>
    <n v="6.1"/>
    <x v="0"/>
    <n v="0.9"/>
    <n v="2.68"/>
    <n v="0.3"/>
    <x v="1"/>
    <x v="2"/>
    <x v="0"/>
    <n v="10"/>
    <n v="10"/>
    <x v="0"/>
  </r>
  <r>
    <x v="2"/>
    <x v="0"/>
    <x v="8"/>
    <x v="0"/>
    <x v="2"/>
    <n v="6.1"/>
    <x v="0"/>
    <n v="0.8"/>
    <n v="3.9"/>
    <n v="0.2"/>
    <x v="1"/>
    <x v="0"/>
    <x v="1"/>
    <n v="3"/>
    <n v="7"/>
    <x v="0"/>
  </r>
  <r>
    <x v="4"/>
    <x v="0"/>
    <x v="35"/>
    <x v="2"/>
    <x v="1"/>
    <n v="6.3"/>
    <x v="0"/>
    <n v="2.9"/>
    <n v="3.35"/>
    <n v="1.6"/>
    <x v="0"/>
    <x v="1"/>
    <x v="2"/>
    <n v="4"/>
    <n v="2"/>
    <x v="0"/>
  </r>
  <r>
    <x v="3"/>
    <x v="1"/>
    <x v="55"/>
    <x v="2"/>
    <x v="0"/>
    <n v="4.4000000000000004"/>
    <x v="0"/>
    <n v="1.9"/>
    <n v="2.04"/>
    <n v="0.5"/>
    <x v="1"/>
    <x v="2"/>
    <x v="6"/>
    <n v="9"/>
    <n v="7"/>
    <x v="0"/>
  </r>
  <r>
    <x v="4"/>
    <x v="1"/>
    <x v="34"/>
    <x v="2"/>
    <x v="2"/>
    <n v="8"/>
    <x v="1"/>
    <n v="1.5"/>
    <n v="3.45"/>
    <n v="1"/>
    <x v="1"/>
    <x v="0"/>
    <x v="6"/>
    <n v="3"/>
    <n v="9"/>
    <x v="0"/>
  </r>
  <r>
    <x v="5"/>
    <x v="1"/>
    <x v="32"/>
    <x v="0"/>
    <x v="2"/>
    <n v="7.2"/>
    <x v="0"/>
    <n v="0.5"/>
    <n v="2.78"/>
    <n v="1.9"/>
    <x v="0"/>
    <x v="0"/>
    <x v="9"/>
    <n v="3"/>
    <n v="9"/>
    <x v="0"/>
  </r>
  <r>
    <x v="4"/>
    <x v="1"/>
    <x v="31"/>
    <x v="2"/>
    <x v="0"/>
    <n v="7.7"/>
    <x v="0"/>
    <n v="0.5"/>
    <n v="3.05"/>
    <n v="1.2"/>
    <x v="0"/>
    <x v="0"/>
    <x v="3"/>
    <n v="1"/>
    <n v="2"/>
    <x v="0"/>
  </r>
  <r>
    <x v="5"/>
    <x v="0"/>
    <x v="20"/>
    <x v="2"/>
    <x v="1"/>
    <n v="8.4"/>
    <x v="1"/>
    <n v="2.2000000000000002"/>
    <n v="2.81"/>
    <n v="0.6"/>
    <x v="1"/>
    <x v="1"/>
    <x v="0"/>
    <n v="8"/>
    <n v="8"/>
    <x v="0"/>
  </r>
  <r>
    <x v="6"/>
    <x v="0"/>
    <x v="22"/>
    <x v="2"/>
    <x v="0"/>
    <n v="7.1"/>
    <x v="0"/>
    <n v="0.7"/>
    <n v="3.64"/>
    <n v="1.1000000000000001"/>
    <x v="0"/>
    <x v="1"/>
    <x v="4"/>
    <n v="5"/>
    <n v="5"/>
    <x v="0"/>
  </r>
  <r>
    <x v="6"/>
    <x v="0"/>
    <x v="48"/>
    <x v="0"/>
    <x v="2"/>
    <n v="8.9"/>
    <x v="1"/>
    <n v="2.2000000000000002"/>
    <n v="3.82"/>
    <n v="1.2"/>
    <x v="0"/>
    <x v="0"/>
    <x v="1"/>
    <n v="8"/>
    <n v="4"/>
    <x v="0"/>
  </r>
  <r>
    <x v="3"/>
    <x v="0"/>
    <x v="32"/>
    <x v="0"/>
    <x v="2"/>
    <n v="4.4000000000000004"/>
    <x v="0"/>
    <n v="2.2999999999999998"/>
    <n v="2.76"/>
    <n v="1.8"/>
    <x v="0"/>
    <x v="2"/>
    <x v="6"/>
    <n v="6"/>
    <n v="9"/>
    <x v="0"/>
  </r>
  <r>
    <x v="2"/>
    <x v="1"/>
    <x v="34"/>
    <x v="2"/>
    <x v="2"/>
    <n v="7.3"/>
    <x v="0"/>
    <n v="0.9"/>
    <n v="2.34"/>
    <n v="0.9"/>
    <x v="1"/>
    <x v="2"/>
    <x v="9"/>
    <n v="3"/>
    <n v="8"/>
    <x v="0"/>
  </r>
  <r>
    <x v="1"/>
    <x v="0"/>
    <x v="27"/>
    <x v="2"/>
    <x v="2"/>
    <n v="9"/>
    <x v="1"/>
    <n v="2.4"/>
    <n v="2.5299999999999998"/>
    <n v="0.4"/>
    <x v="1"/>
    <x v="2"/>
    <x v="9"/>
    <n v="2"/>
    <n v="10"/>
    <x v="0"/>
  </r>
  <r>
    <x v="5"/>
    <x v="1"/>
    <x v="12"/>
    <x v="2"/>
    <x v="2"/>
    <n v="4.2"/>
    <x v="0"/>
    <n v="1.4"/>
    <n v="2.56"/>
    <n v="0.1"/>
    <x v="1"/>
    <x v="1"/>
    <x v="6"/>
    <n v="3"/>
    <n v="1"/>
    <x v="0"/>
  </r>
  <r>
    <x v="4"/>
    <x v="1"/>
    <x v="36"/>
    <x v="2"/>
    <x v="0"/>
    <n v="8.4"/>
    <x v="1"/>
    <n v="2.6"/>
    <n v="2.57"/>
    <n v="1.8"/>
    <x v="0"/>
    <x v="2"/>
    <x v="6"/>
    <n v="1"/>
    <n v="3"/>
    <x v="0"/>
  </r>
  <r>
    <x v="6"/>
    <x v="0"/>
    <x v="0"/>
    <x v="0"/>
    <x v="0"/>
    <n v="8.8000000000000007"/>
    <x v="1"/>
    <n v="2.2999999999999998"/>
    <n v="3.39"/>
    <n v="0.5"/>
    <x v="1"/>
    <x v="0"/>
    <x v="2"/>
    <n v="9"/>
    <n v="3"/>
    <x v="0"/>
  </r>
  <r>
    <x v="1"/>
    <x v="0"/>
    <x v="29"/>
    <x v="2"/>
    <x v="1"/>
    <n v="5"/>
    <x v="0"/>
    <n v="2.6"/>
    <n v="3.25"/>
    <n v="1.6"/>
    <x v="0"/>
    <x v="0"/>
    <x v="6"/>
    <n v="6"/>
    <n v="1"/>
    <x v="0"/>
  </r>
  <r>
    <x v="6"/>
    <x v="1"/>
    <x v="58"/>
    <x v="2"/>
    <x v="2"/>
    <n v="6"/>
    <x v="0"/>
    <n v="1"/>
    <n v="2.63"/>
    <n v="0.1"/>
    <x v="1"/>
    <x v="0"/>
    <x v="5"/>
    <n v="10"/>
    <n v="9"/>
    <x v="0"/>
  </r>
  <r>
    <x v="0"/>
    <x v="1"/>
    <x v="19"/>
    <x v="2"/>
    <x v="2"/>
    <n v="6.4"/>
    <x v="0"/>
    <n v="2"/>
    <n v="3.69"/>
    <n v="1.5"/>
    <x v="0"/>
    <x v="2"/>
    <x v="9"/>
    <n v="7"/>
    <n v="9"/>
    <x v="0"/>
  </r>
  <r>
    <x v="1"/>
    <x v="0"/>
    <x v="42"/>
    <x v="2"/>
    <x v="0"/>
    <n v="5"/>
    <x v="0"/>
    <n v="1.2"/>
    <n v="2.56"/>
    <n v="1.6"/>
    <x v="0"/>
    <x v="1"/>
    <x v="3"/>
    <n v="10"/>
    <n v="8"/>
    <x v="0"/>
  </r>
  <r>
    <x v="2"/>
    <x v="1"/>
    <x v="50"/>
    <x v="2"/>
    <x v="0"/>
    <n v="6.2"/>
    <x v="0"/>
    <n v="2.2000000000000002"/>
    <n v="2.96"/>
    <n v="1.6"/>
    <x v="0"/>
    <x v="0"/>
    <x v="1"/>
    <n v="10"/>
    <n v="9"/>
    <x v="0"/>
  </r>
  <r>
    <x v="4"/>
    <x v="1"/>
    <x v="2"/>
    <x v="1"/>
    <x v="2"/>
    <n v="4.9000000000000004"/>
    <x v="0"/>
    <n v="0.9"/>
    <n v="3.86"/>
    <n v="0"/>
    <x v="2"/>
    <x v="2"/>
    <x v="6"/>
    <n v="9"/>
    <n v="8"/>
    <x v="0"/>
  </r>
  <r>
    <x v="3"/>
    <x v="1"/>
    <x v="64"/>
    <x v="2"/>
    <x v="1"/>
    <n v="6.8"/>
    <x v="0"/>
    <n v="1.1000000000000001"/>
    <n v="3.37"/>
    <n v="0.7"/>
    <x v="1"/>
    <x v="1"/>
    <x v="3"/>
    <n v="6"/>
    <n v="8"/>
    <x v="0"/>
  </r>
  <r>
    <x v="1"/>
    <x v="0"/>
    <x v="24"/>
    <x v="2"/>
    <x v="2"/>
    <n v="6"/>
    <x v="0"/>
    <n v="2.1"/>
    <n v="2.84"/>
    <n v="1.5"/>
    <x v="0"/>
    <x v="0"/>
    <x v="8"/>
    <n v="4"/>
    <n v="5"/>
    <x v="0"/>
  </r>
  <r>
    <x v="6"/>
    <x v="0"/>
    <x v="41"/>
    <x v="0"/>
    <x v="1"/>
    <n v="4.8"/>
    <x v="0"/>
    <n v="0.7"/>
    <n v="2.91"/>
    <n v="2"/>
    <x v="0"/>
    <x v="1"/>
    <x v="7"/>
    <n v="9"/>
    <n v="1"/>
    <x v="1"/>
  </r>
  <r>
    <x v="3"/>
    <x v="0"/>
    <x v="59"/>
    <x v="0"/>
    <x v="2"/>
    <n v="8.6999999999999993"/>
    <x v="1"/>
    <n v="3"/>
    <n v="2.84"/>
    <n v="1.4"/>
    <x v="0"/>
    <x v="2"/>
    <x v="5"/>
    <n v="3"/>
    <n v="2"/>
    <x v="0"/>
  </r>
  <r>
    <x v="3"/>
    <x v="1"/>
    <x v="16"/>
    <x v="2"/>
    <x v="2"/>
    <n v="5"/>
    <x v="0"/>
    <n v="0.6"/>
    <n v="2.75"/>
    <n v="1.5"/>
    <x v="0"/>
    <x v="2"/>
    <x v="9"/>
    <n v="4"/>
    <n v="8"/>
    <x v="0"/>
  </r>
  <r>
    <x v="3"/>
    <x v="1"/>
    <x v="21"/>
    <x v="2"/>
    <x v="0"/>
    <n v="5.6"/>
    <x v="0"/>
    <n v="2.9"/>
    <n v="2.72"/>
    <n v="1"/>
    <x v="1"/>
    <x v="1"/>
    <x v="4"/>
    <n v="6"/>
    <n v="2"/>
    <x v="0"/>
  </r>
  <r>
    <x v="0"/>
    <x v="0"/>
    <x v="20"/>
    <x v="2"/>
    <x v="2"/>
    <n v="9"/>
    <x v="1"/>
    <n v="2.8"/>
    <n v="3.1"/>
    <n v="1.6"/>
    <x v="0"/>
    <x v="1"/>
    <x v="7"/>
    <n v="7"/>
    <n v="6"/>
    <x v="0"/>
  </r>
  <r>
    <x v="6"/>
    <x v="1"/>
    <x v="26"/>
    <x v="2"/>
    <x v="1"/>
    <n v="6.5"/>
    <x v="0"/>
    <n v="1.5"/>
    <n v="2.58"/>
    <n v="0.4"/>
    <x v="1"/>
    <x v="1"/>
    <x v="2"/>
    <n v="1"/>
    <n v="6"/>
    <x v="0"/>
  </r>
  <r>
    <x v="6"/>
    <x v="0"/>
    <x v="45"/>
    <x v="2"/>
    <x v="0"/>
    <n v="7.8"/>
    <x v="0"/>
    <n v="1.8"/>
    <n v="3.46"/>
    <n v="1"/>
    <x v="1"/>
    <x v="1"/>
    <x v="6"/>
    <n v="7"/>
    <n v="7"/>
    <x v="0"/>
  </r>
  <r>
    <x v="2"/>
    <x v="0"/>
    <x v="8"/>
    <x v="0"/>
    <x v="0"/>
    <n v="8"/>
    <x v="1"/>
    <n v="1.9"/>
    <n v="2.66"/>
    <n v="1.4"/>
    <x v="0"/>
    <x v="2"/>
    <x v="5"/>
    <n v="8"/>
    <n v="6"/>
    <x v="0"/>
  </r>
  <r>
    <x v="1"/>
    <x v="0"/>
    <x v="14"/>
    <x v="1"/>
    <x v="1"/>
    <n v="6.8"/>
    <x v="0"/>
    <n v="2.5"/>
    <n v="2.13"/>
    <n v="0.2"/>
    <x v="1"/>
    <x v="2"/>
    <x v="8"/>
    <n v="8"/>
    <n v="10"/>
    <x v="0"/>
  </r>
  <r>
    <x v="6"/>
    <x v="0"/>
    <x v="6"/>
    <x v="2"/>
    <x v="2"/>
    <n v="4.2"/>
    <x v="0"/>
    <n v="0.5"/>
    <n v="2.46"/>
    <n v="0.6"/>
    <x v="1"/>
    <x v="0"/>
    <x v="0"/>
    <n v="9"/>
    <n v="9"/>
    <x v="0"/>
  </r>
  <r>
    <x v="3"/>
    <x v="1"/>
    <x v="64"/>
    <x v="2"/>
    <x v="2"/>
    <n v="7.1"/>
    <x v="0"/>
    <n v="2.1"/>
    <n v="2.21"/>
    <n v="1.8"/>
    <x v="0"/>
    <x v="2"/>
    <x v="6"/>
    <n v="1"/>
    <n v="3"/>
    <x v="0"/>
  </r>
  <r>
    <x v="1"/>
    <x v="0"/>
    <x v="47"/>
    <x v="1"/>
    <x v="1"/>
    <n v="7.7"/>
    <x v="0"/>
    <n v="2.2000000000000002"/>
    <n v="3.77"/>
    <n v="0.3"/>
    <x v="1"/>
    <x v="2"/>
    <x v="6"/>
    <n v="6"/>
    <n v="7"/>
    <x v="0"/>
  </r>
  <r>
    <x v="2"/>
    <x v="1"/>
    <x v="7"/>
    <x v="2"/>
    <x v="0"/>
    <n v="8.6"/>
    <x v="1"/>
    <n v="1.1000000000000001"/>
    <n v="2.62"/>
    <n v="0.4"/>
    <x v="1"/>
    <x v="0"/>
    <x v="6"/>
    <n v="7"/>
    <n v="9"/>
    <x v="0"/>
  </r>
  <r>
    <x v="0"/>
    <x v="1"/>
    <x v="70"/>
    <x v="1"/>
    <x v="2"/>
    <n v="6.6"/>
    <x v="0"/>
    <n v="1.4"/>
    <n v="2.02"/>
    <n v="1.9"/>
    <x v="0"/>
    <x v="0"/>
    <x v="4"/>
    <n v="5"/>
    <n v="5"/>
    <x v="0"/>
  </r>
  <r>
    <x v="6"/>
    <x v="1"/>
    <x v="17"/>
    <x v="1"/>
    <x v="1"/>
    <n v="8"/>
    <x v="1"/>
    <n v="2.8"/>
    <n v="2.1800000000000002"/>
    <n v="1.1000000000000001"/>
    <x v="0"/>
    <x v="1"/>
    <x v="5"/>
    <n v="8"/>
    <n v="5"/>
    <x v="0"/>
  </r>
  <r>
    <x v="1"/>
    <x v="0"/>
    <x v="23"/>
    <x v="2"/>
    <x v="0"/>
    <n v="4.0999999999999996"/>
    <x v="0"/>
    <n v="1.3"/>
    <n v="3.71"/>
    <n v="1.6"/>
    <x v="0"/>
    <x v="0"/>
    <x v="9"/>
    <n v="7"/>
    <n v="8"/>
    <x v="0"/>
  </r>
  <r>
    <x v="6"/>
    <x v="1"/>
    <x v="38"/>
    <x v="0"/>
    <x v="2"/>
    <n v="6.5"/>
    <x v="0"/>
    <n v="1.6"/>
    <n v="2.0299999999999998"/>
    <n v="0.3"/>
    <x v="1"/>
    <x v="2"/>
    <x v="2"/>
    <n v="10"/>
    <n v="6"/>
    <x v="0"/>
  </r>
  <r>
    <x v="3"/>
    <x v="1"/>
    <x v="69"/>
    <x v="2"/>
    <x v="1"/>
    <n v="7.8"/>
    <x v="0"/>
    <n v="1.5"/>
    <n v="2.79"/>
    <n v="0.7"/>
    <x v="1"/>
    <x v="1"/>
    <x v="8"/>
    <n v="10"/>
    <n v="7"/>
    <x v="0"/>
  </r>
  <r>
    <x v="2"/>
    <x v="0"/>
    <x v="51"/>
    <x v="0"/>
    <x v="1"/>
    <n v="4.7"/>
    <x v="0"/>
    <n v="2.8"/>
    <n v="3.5"/>
    <n v="1.5"/>
    <x v="0"/>
    <x v="0"/>
    <x v="1"/>
    <n v="4"/>
    <n v="8"/>
    <x v="0"/>
  </r>
  <r>
    <x v="2"/>
    <x v="1"/>
    <x v="60"/>
    <x v="0"/>
    <x v="0"/>
    <n v="5.9"/>
    <x v="0"/>
    <n v="2"/>
    <n v="2.52"/>
    <n v="1.5"/>
    <x v="0"/>
    <x v="2"/>
    <x v="2"/>
    <n v="5"/>
    <n v="1"/>
    <x v="0"/>
  </r>
  <r>
    <x v="6"/>
    <x v="0"/>
    <x v="48"/>
    <x v="0"/>
    <x v="0"/>
    <n v="6.9"/>
    <x v="0"/>
    <n v="2.5"/>
    <n v="2.4500000000000002"/>
    <n v="1.7"/>
    <x v="0"/>
    <x v="2"/>
    <x v="7"/>
    <n v="1"/>
    <n v="3"/>
    <x v="0"/>
  </r>
  <r>
    <x v="5"/>
    <x v="1"/>
    <x v="39"/>
    <x v="2"/>
    <x v="0"/>
    <n v="6"/>
    <x v="0"/>
    <n v="1.4"/>
    <n v="2.98"/>
    <n v="1.7"/>
    <x v="0"/>
    <x v="0"/>
    <x v="1"/>
    <n v="7"/>
    <n v="4"/>
    <x v="0"/>
  </r>
  <r>
    <x v="6"/>
    <x v="0"/>
    <x v="55"/>
    <x v="2"/>
    <x v="2"/>
    <n v="5.3"/>
    <x v="0"/>
    <n v="2.5"/>
    <n v="3.48"/>
    <n v="1"/>
    <x v="1"/>
    <x v="0"/>
    <x v="4"/>
    <n v="7"/>
    <n v="7"/>
    <x v="0"/>
  </r>
  <r>
    <x v="5"/>
    <x v="1"/>
    <x v="36"/>
    <x v="2"/>
    <x v="1"/>
    <n v="6.3"/>
    <x v="0"/>
    <n v="3"/>
    <n v="2.6"/>
    <n v="0.4"/>
    <x v="1"/>
    <x v="2"/>
    <x v="8"/>
    <n v="7"/>
    <n v="3"/>
    <x v="0"/>
  </r>
  <r>
    <x v="6"/>
    <x v="1"/>
    <x v="20"/>
    <x v="2"/>
    <x v="1"/>
    <n v="6.5"/>
    <x v="0"/>
    <n v="1.1000000000000001"/>
    <n v="3.48"/>
    <n v="1.8"/>
    <x v="0"/>
    <x v="0"/>
    <x v="8"/>
    <n v="5"/>
    <n v="4"/>
    <x v="0"/>
  </r>
  <r>
    <x v="3"/>
    <x v="1"/>
    <x v="12"/>
    <x v="2"/>
    <x v="0"/>
    <n v="7.5"/>
    <x v="0"/>
    <n v="2.4"/>
    <n v="2.84"/>
    <n v="1.3"/>
    <x v="0"/>
    <x v="2"/>
    <x v="7"/>
    <n v="10"/>
    <n v="2"/>
    <x v="0"/>
  </r>
  <r>
    <x v="4"/>
    <x v="1"/>
    <x v="66"/>
    <x v="2"/>
    <x v="0"/>
    <n v="7.4"/>
    <x v="0"/>
    <n v="1"/>
    <n v="3.73"/>
    <n v="1.9"/>
    <x v="0"/>
    <x v="0"/>
    <x v="9"/>
    <n v="3"/>
    <n v="6"/>
    <x v="0"/>
  </r>
  <r>
    <x v="3"/>
    <x v="0"/>
    <x v="66"/>
    <x v="2"/>
    <x v="1"/>
    <n v="6.1"/>
    <x v="0"/>
    <n v="2.9"/>
    <n v="2.98"/>
    <n v="1.8"/>
    <x v="0"/>
    <x v="2"/>
    <x v="4"/>
    <n v="3"/>
    <n v="7"/>
    <x v="0"/>
  </r>
  <r>
    <x v="6"/>
    <x v="1"/>
    <x v="43"/>
    <x v="1"/>
    <x v="0"/>
    <n v="7"/>
    <x v="0"/>
    <n v="1.9"/>
    <n v="4"/>
    <n v="0.9"/>
    <x v="1"/>
    <x v="2"/>
    <x v="0"/>
    <n v="9"/>
    <n v="6"/>
    <x v="0"/>
  </r>
  <r>
    <x v="0"/>
    <x v="1"/>
    <x v="23"/>
    <x v="2"/>
    <x v="2"/>
    <n v="5"/>
    <x v="0"/>
    <n v="2.6"/>
    <n v="2.71"/>
    <n v="2"/>
    <x v="0"/>
    <x v="0"/>
    <x v="5"/>
    <n v="4"/>
    <n v="3"/>
    <x v="0"/>
  </r>
  <r>
    <x v="5"/>
    <x v="1"/>
    <x v="52"/>
    <x v="2"/>
    <x v="1"/>
    <n v="5.3"/>
    <x v="0"/>
    <n v="1.8"/>
    <n v="2.29"/>
    <n v="0.2"/>
    <x v="1"/>
    <x v="1"/>
    <x v="6"/>
    <n v="10"/>
    <n v="2"/>
    <x v="0"/>
  </r>
  <r>
    <x v="5"/>
    <x v="1"/>
    <x v="41"/>
    <x v="0"/>
    <x v="1"/>
    <n v="7.8"/>
    <x v="0"/>
    <n v="1.3"/>
    <n v="2.73"/>
    <n v="1.5"/>
    <x v="0"/>
    <x v="2"/>
    <x v="6"/>
    <n v="5"/>
    <n v="8"/>
    <x v="0"/>
  </r>
  <r>
    <x v="5"/>
    <x v="1"/>
    <x v="15"/>
    <x v="2"/>
    <x v="0"/>
    <n v="7.9"/>
    <x v="0"/>
    <n v="1.2"/>
    <n v="2.85"/>
    <n v="0.7"/>
    <x v="1"/>
    <x v="1"/>
    <x v="0"/>
    <n v="2"/>
    <n v="5"/>
    <x v="0"/>
  </r>
  <r>
    <x v="1"/>
    <x v="0"/>
    <x v="62"/>
    <x v="2"/>
    <x v="2"/>
    <n v="7"/>
    <x v="0"/>
    <n v="2.2999999999999998"/>
    <n v="3"/>
    <n v="1.6"/>
    <x v="0"/>
    <x v="0"/>
    <x v="3"/>
    <n v="5"/>
    <n v="10"/>
    <x v="0"/>
  </r>
  <r>
    <x v="3"/>
    <x v="0"/>
    <x v="0"/>
    <x v="0"/>
    <x v="1"/>
    <n v="4.0999999999999996"/>
    <x v="0"/>
    <n v="0.7"/>
    <n v="2.33"/>
    <n v="1.2"/>
    <x v="0"/>
    <x v="2"/>
    <x v="3"/>
    <n v="8"/>
    <n v="1"/>
    <x v="0"/>
  </r>
  <r>
    <x v="3"/>
    <x v="0"/>
    <x v="49"/>
    <x v="2"/>
    <x v="0"/>
    <n v="7.4"/>
    <x v="0"/>
    <n v="0.7"/>
    <n v="2.64"/>
    <n v="0.2"/>
    <x v="1"/>
    <x v="2"/>
    <x v="5"/>
    <n v="8"/>
    <n v="1"/>
    <x v="0"/>
  </r>
  <r>
    <x v="5"/>
    <x v="0"/>
    <x v="1"/>
    <x v="1"/>
    <x v="2"/>
    <n v="5.8"/>
    <x v="0"/>
    <n v="2.1"/>
    <n v="2.27"/>
    <n v="0.6"/>
    <x v="1"/>
    <x v="2"/>
    <x v="3"/>
    <n v="3"/>
    <n v="2"/>
    <x v="0"/>
  </r>
  <r>
    <x v="2"/>
    <x v="0"/>
    <x v="48"/>
    <x v="0"/>
    <x v="0"/>
    <n v="8.6999999999999993"/>
    <x v="1"/>
    <n v="1.5"/>
    <n v="3.7"/>
    <n v="2"/>
    <x v="0"/>
    <x v="1"/>
    <x v="7"/>
    <n v="9"/>
    <n v="5"/>
    <x v="0"/>
  </r>
  <r>
    <x v="1"/>
    <x v="0"/>
    <x v="36"/>
    <x v="2"/>
    <x v="2"/>
    <n v="4"/>
    <x v="0"/>
    <n v="0.5"/>
    <n v="3.16"/>
    <n v="0.2"/>
    <x v="1"/>
    <x v="1"/>
    <x v="9"/>
    <n v="6"/>
    <n v="3"/>
    <x v="0"/>
  </r>
  <r>
    <x v="0"/>
    <x v="0"/>
    <x v="39"/>
    <x v="2"/>
    <x v="0"/>
    <n v="8.4"/>
    <x v="1"/>
    <n v="0.9"/>
    <n v="3.2"/>
    <n v="1.6"/>
    <x v="0"/>
    <x v="1"/>
    <x v="7"/>
    <n v="10"/>
    <n v="1"/>
    <x v="0"/>
  </r>
  <r>
    <x v="5"/>
    <x v="0"/>
    <x v="43"/>
    <x v="1"/>
    <x v="0"/>
    <n v="6.4"/>
    <x v="0"/>
    <n v="3"/>
    <n v="2.5099999999999998"/>
    <n v="0.1"/>
    <x v="1"/>
    <x v="2"/>
    <x v="1"/>
    <n v="6"/>
    <n v="9"/>
    <x v="0"/>
  </r>
  <r>
    <x v="5"/>
    <x v="0"/>
    <x v="9"/>
    <x v="2"/>
    <x v="0"/>
    <n v="5.7"/>
    <x v="0"/>
    <n v="1.2"/>
    <n v="2.0699999999999998"/>
    <n v="0.1"/>
    <x v="1"/>
    <x v="2"/>
    <x v="1"/>
    <n v="2"/>
    <n v="1"/>
    <x v="0"/>
  </r>
  <r>
    <x v="0"/>
    <x v="0"/>
    <x v="61"/>
    <x v="2"/>
    <x v="2"/>
    <n v="7.6"/>
    <x v="0"/>
    <n v="1.4"/>
    <n v="2.72"/>
    <n v="0.9"/>
    <x v="1"/>
    <x v="0"/>
    <x v="8"/>
    <n v="3"/>
    <n v="3"/>
    <x v="0"/>
  </r>
  <r>
    <x v="3"/>
    <x v="1"/>
    <x v="26"/>
    <x v="2"/>
    <x v="2"/>
    <n v="6.5"/>
    <x v="0"/>
    <n v="1.6"/>
    <n v="2.14"/>
    <n v="0.4"/>
    <x v="1"/>
    <x v="1"/>
    <x v="4"/>
    <n v="6"/>
    <n v="6"/>
    <x v="0"/>
  </r>
  <r>
    <x v="5"/>
    <x v="1"/>
    <x v="53"/>
    <x v="0"/>
    <x v="2"/>
    <n v="7.4"/>
    <x v="0"/>
    <n v="0.7"/>
    <n v="2.54"/>
    <n v="1.2"/>
    <x v="0"/>
    <x v="2"/>
    <x v="7"/>
    <n v="4"/>
    <n v="9"/>
    <x v="0"/>
  </r>
  <r>
    <x v="4"/>
    <x v="0"/>
    <x v="64"/>
    <x v="2"/>
    <x v="1"/>
    <n v="6.5"/>
    <x v="0"/>
    <n v="1.4"/>
    <n v="2.91"/>
    <n v="1.5"/>
    <x v="0"/>
    <x v="0"/>
    <x v="5"/>
    <n v="6"/>
    <n v="4"/>
    <x v="0"/>
  </r>
  <r>
    <x v="6"/>
    <x v="1"/>
    <x v="57"/>
    <x v="2"/>
    <x v="0"/>
    <n v="5.5"/>
    <x v="0"/>
    <n v="2.7"/>
    <n v="3.17"/>
    <n v="0.3"/>
    <x v="1"/>
    <x v="0"/>
    <x v="5"/>
    <n v="1"/>
    <n v="5"/>
    <x v="0"/>
  </r>
  <r>
    <x v="6"/>
    <x v="1"/>
    <x v="63"/>
    <x v="1"/>
    <x v="2"/>
    <n v="7.8"/>
    <x v="0"/>
    <n v="0.6"/>
    <n v="3.42"/>
    <n v="1.6"/>
    <x v="0"/>
    <x v="2"/>
    <x v="7"/>
    <n v="4"/>
    <n v="6"/>
    <x v="0"/>
  </r>
  <r>
    <x v="2"/>
    <x v="0"/>
    <x v="68"/>
    <x v="2"/>
    <x v="1"/>
    <n v="7.2"/>
    <x v="0"/>
    <n v="0.6"/>
    <n v="3.34"/>
    <n v="1.8"/>
    <x v="0"/>
    <x v="1"/>
    <x v="0"/>
    <n v="6"/>
    <n v="2"/>
    <x v="0"/>
  </r>
  <r>
    <x v="0"/>
    <x v="0"/>
    <x v="55"/>
    <x v="2"/>
    <x v="0"/>
    <n v="8.9"/>
    <x v="1"/>
    <n v="1.9"/>
    <n v="2.77"/>
    <n v="0.2"/>
    <x v="1"/>
    <x v="2"/>
    <x v="4"/>
    <n v="2"/>
    <n v="2"/>
    <x v="0"/>
  </r>
  <r>
    <x v="3"/>
    <x v="1"/>
    <x v="45"/>
    <x v="2"/>
    <x v="1"/>
    <n v="7"/>
    <x v="0"/>
    <n v="1.8"/>
    <n v="2.54"/>
    <n v="0.1"/>
    <x v="1"/>
    <x v="0"/>
    <x v="2"/>
    <n v="4"/>
    <n v="4"/>
    <x v="0"/>
  </r>
  <r>
    <x v="2"/>
    <x v="0"/>
    <x v="6"/>
    <x v="2"/>
    <x v="2"/>
    <n v="4.3"/>
    <x v="0"/>
    <n v="1.8"/>
    <n v="2.17"/>
    <n v="0.9"/>
    <x v="1"/>
    <x v="1"/>
    <x v="1"/>
    <n v="8"/>
    <n v="3"/>
    <x v="0"/>
  </r>
  <r>
    <x v="1"/>
    <x v="0"/>
    <x v="35"/>
    <x v="2"/>
    <x v="1"/>
    <n v="5.8"/>
    <x v="0"/>
    <n v="1.8"/>
    <n v="3.3"/>
    <n v="0.9"/>
    <x v="1"/>
    <x v="0"/>
    <x v="9"/>
    <n v="6"/>
    <n v="9"/>
    <x v="0"/>
  </r>
  <r>
    <x v="2"/>
    <x v="0"/>
    <x v="2"/>
    <x v="1"/>
    <x v="2"/>
    <n v="8.3000000000000007"/>
    <x v="1"/>
    <n v="1"/>
    <n v="3.95"/>
    <n v="1.2"/>
    <x v="0"/>
    <x v="2"/>
    <x v="6"/>
    <n v="1"/>
    <n v="1"/>
    <x v="0"/>
  </r>
  <r>
    <x v="0"/>
    <x v="0"/>
    <x v="46"/>
    <x v="2"/>
    <x v="0"/>
    <n v="8.8000000000000007"/>
    <x v="1"/>
    <n v="0.9"/>
    <n v="3.03"/>
    <n v="2"/>
    <x v="0"/>
    <x v="0"/>
    <x v="1"/>
    <n v="10"/>
    <n v="3"/>
    <x v="0"/>
  </r>
  <r>
    <x v="6"/>
    <x v="1"/>
    <x v="22"/>
    <x v="2"/>
    <x v="0"/>
    <n v="5.5"/>
    <x v="0"/>
    <n v="0.6"/>
    <n v="3.56"/>
    <n v="1.6"/>
    <x v="0"/>
    <x v="2"/>
    <x v="6"/>
    <n v="8"/>
    <n v="7"/>
    <x v="0"/>
  </r>
  <r>
    <x v="5"/>
    <x v="0"/>
    <x v="23"/>
    <x v="2"/>
    <x v="2"/>
    <n v="7.8"/>
    <x v="0"/>
    <n v="2.8"/>
    <n v="2.1"/>
    <n v="0.6"/>
    <x v="1"/>
    <x v="2"/>
    <x v="0"/>
    <n v="6"/>
    <n v="8"/>
    <x v="0"/>
  </r>
  <r>
    <x v="3"/>
    <x v="0"/>
    <x v="24"/>
    <x v="2"/>
    <x v="0"/>
    <n v="8.6"/>
    <x v="1"/>
    <n v="1.5"/>
    <n v="2.63"/>
    <n v="1.1000000000000001"/>
    <x v="0"/>
    <x v="0"/>
    <x v="2"/>
    <n v="9"/>
    <n v="9"/>
    <x v="0"/>
  </r>
  <r>
    <x v="2"/>
    <x v="1"/>
    <x v="21"/>
    <x v="2"/>
    <x v="1"/>
    <n v="6.4"/>
    <x v="0"/>
    <n v="2.4"/>
    <n v="3.61"/>
    <n v="0.6"/>
    <x v="1"/>
    <x v="2"/>
    <x v="0"/>
    <n v="1"/>
    <n v="1"/>
    <x v="0"/>
  </r>
  <r>
    <x v="5"/>
    <x v="0"/>
    <x v="31"/>
    <x v="2"/>
    <x v="1"/>
    <n v="5.4"/>
    <x v="0"/>
    <n v="1.4"/>
    <n v="2.42"/>
    <n v="1.9"/>
    <x v="0"/>
    <x v="2"/>
    <x v="6"/>
    <n v="9"/>
    <n v="5"/>
    <x v="0"/>
  </r>
  <r>
    <x v="4"/>
    <x v="1"/>
    <x v="35"/>
    <x v="2"/>
    <x v="2"/>
    <n v="5.9"/>
    <x v="0"/>
    <n v="1.3"/>
    <n v="3.68"/>
    <n v="2"/>
    <x v="0"/>
    <x v="2"/>
    <x v="9"/>
    <n v="4"/>
    <n v="10"/>
    <x v="0"/>
  </r>
  <r>
    <x v="4"/>
    <x v="1"/>
    <x v="65"/>
    <x v="1"/>
    <x v="0"/>
    <n v="8.5"/>
    <x v="1"/>
    <n v="1"/>
    <n v="3.32"/>
    <n v="1.3"/>
    <x v="0"/>
    <x v="2"/>
    <x v="2"/>
    <n v="1"/>
    <n v="7"/>
    <x v="0"/>
  </r>
  <r>
    <x v="0"/>
    <x v="0"/>
    <x v="19"/>
    <x v="2"/>
    <x v="0"/>
    <n v="8.1999999999999993"/>
    <x v="1"/>
    <n v="1.7"/>
    <n v="2.3199999999999998"/>
    <n v="1.4"/>
    <x v="0"/>
    <x v="1"/>
    <x v="8"/>
    <n v="2"/>
    <n v="4"/>
    <x v="0"/>
  </r>
  <r>
    <x v="0"/>
    <x v="0"/>
    <x v="7"/>
    <x v="2"/>
    <x v="0"/>
    <n v="6.5"/>
    <x v="0"/>
    <n v="0.8"/>
    <n v="2.54"/>
    <n v="0.8"/>
    <x v="1"/>
    <x v="0"/>
    <x v="2"/>
    <n v="2"/>
    <n v="3"/>
    <x v="0"/>
  </r>
  <r>
    <x v="0"/>
    <x v="1"/>
    <x v="27"/>
    <x v="2"/>
    <x v="1"/>
    <n v="4.9000000000000004"/>
    <x v="0"/>
    <n v="2.6"/>
    <n v="3.82"/>
    <n v="1.9"/>
    <x v="0"/>
    <x v="2"/>
    <x v="3"/>
    <n v="10"/>
    <n v="10"/>
    <x v="0"/>
  </r>
  <r>
    <x v="1"/>
    <x v="1"/>
    <x v="14"/>
    <x v="1"/>
    <x v="0"/>
    <n v="8.4"/>
    <x v="1"/>
    <n v="3"/>
    <n v="2.46"/>
    <n v="1.5"/>
    <x v="0"/>
    <x v="1"/>
    <x v="2"/>
    <n v="7"/>
    <n v="6"/>
    <x v="0"/>
  </r>
  <r>
    <x v="2"/>
    <x v="1"/>
    <x v="7"/>
    <x v="2"/>
    <x v="1"/>
    <n v="8.4"/>
    <x v="1"/>
    <n v="2.1"/>
    <n v="3.4"/>
    <n v="0.2"/>
    <x v="1"/>
    <x v="1"/>
    <x v="2"/>
    <n v="3"/>
    <n v="10"/>
    <x v="0"/>
  </r>
  <r>
    <x v="6"/>
    <x v="0"/>
    <x v="31"/>
    <x v="2"/>
    <x v="2"/>
    <n v="4.0999999999999996"/>
    <x v="0"/>
    <n v="1.3"/>
    <n v="2.77"/>
    <n v="1.3"/>
    <x v="0"/>
    <x v="0"/>
    <x v="7"/>
    <n v="6"/>
    <n v="1"/>
    <x v="0"/>
  </r>
  <r>
    <x v="2"/>
    <x v="1"/>
    <x v="48"/>
    <x v="0"/>
    <x v="0"/>
    <n v="8.1"/>
    <x v="1"/>
    <n v="1.2"/>
    <n v="2.13"/>
    <n v="1"/>
    <x v="1"/>
    <x v="0"/>
    <x v="2"/>
    <n v="8"/>
    <n v="7"/>
    <x v="0"/>
  </r>
  <r>
    <x v="5"/>
    <x v="1"/>
    <x v="70"/>
    <x v="1"/>
    <x v="2"/>
    <n v="4.0999999999999996"/>
    <x v="0"/>
    <n v="1.3"/>
    <n v="2.2200000000000002"/>
    <n v="0.4"/>
    <x v="1"/>
    <x v="0"/>
    <x v="0"/>
    <n v="1"/>
    <n v="8"/>
    <x v="0"/>
  </r>
  <r>
    <x v="4"/>
    <x v="1"/>
    <x v="64"/>
    <x v="2"/>
    <x v="0"/>
    <n v="5.4"/>
    <x v="0"/>
    <n v="1.1000000000000001"/>
    <n v="2.31"/>
    <n v="0.3"/>
    <x v="1"/>
    <x v="0"/>
    <x v="6"/>
    <n v="9"/>
    <n v="1"/>
    <x v="0"/>
  </r>
  <r>
    <x v="4"/>
    <x v="1"/>
    <x v="28"/>
    <x v="2"/>
    <x v="1"/>
    <n v="7.3"/>
    <x v="0"/>
    <n v="2.8"/>
    <n v="3.22"/>
    <n v="0.6"/>
    <x v="1"/>
    <x v="1"/>
    <x v="2"/>
    <n v="3"/>
    <n v="6"/>
    <x v="0"/>
  </r>
  <r>
    <x v="2"/>
    <x v="1"/>
    <x v="66"/>
    <x v="2"/>
    <x v="2"/>
    <n v="6.2"/>
    <x v="0"/>
    <n v="2.4"/>
    <n v="2.58"/>
    <n v="0.4"/>
    <x v="1"/>
    <x v="1"/>
    <x v="6"/>
    <n v="10"/>
    <n v="9"/>
    <x v="0"/>
  </r>
  <r>
    <x v="5"/>
    <x v="1"/>
    <x v="30"/>
    <x v="2"/>
    <x v="0"/>
    <n v="6.9"/>
    <x v="0"/>
    <n v="1.3"/>
    <n v="2.15"/>
    <n v="1.4"/>
    <x v="0"/>
    <x v="0"/>
    <x v="8"/>
    <n v="2"/>
    <n v="10"/>
    <x v="0"/>
  </r>
  <r>
    <x v="2"/>
    <x v="1"/>
    <x v="8"/>
    <x v="0"/>
    <x v="1"/>
    <n v="7"/>
    <x v="0"/>
    <n v="1.3"/>
    <n v="3.86"/>
    <n v="0.9"/>
    <x v="1"/>
    <x v="0"/>
    <x v="9"/>
    <n v="8"/>
    <n v="4"/>
    <x v="0"/>
  </r>
  <r>
    <x v="6"/>
    <x v="0"/>
    <x v="34"/>
    <x v="2"/>
    <x v="2"/>
    <n v="6.7"/>
    <x v="0"/>
    <n v="2.2000000000000002"/>
    <n v="3.73"/>
    <n v="0.3"/>
    <x v="1"/>
    <x v="0"/>
    <x v="3"/>
    <n v="5"/>
    <n v="10"/>
    <x v="0"/>
  </r>
  <r>
    <x v="4"/>
    <x v="0"/>
    <x v="20"/>
    <x v="2"/>
    <x v="2"/>
    <n v="5.0999999999999996"/>
    <x v="0"/>
    <n v="1.2"/>
    <n v="3.32"/>
    <n v="1.8"/>
    <x v="0"/>
    <x v="0"/>
    <x v="9"/>
    <n v="3"/>
    <n v="8"/>
    <x v="0"/>
  </r>
  <r>
    <x v="6"/>
    <x v="0"/>
    <x v="33"/>
    <x v="2"/>
    <x v="1"/>
    <n v="6.7"/>
    <x v="0"/>
    <n v="2.5"/>
    <n v="3.82"/>
    <n v="0.9"/>
    <x v="1"/>
    <x v="2"/>
    <x v="1"/>
    <n v="8"/>
    <n v="6"/>
    <x v="0"/>
  </r>
  <r>
    <x v="6"/>
    <x v="0"/>
    <x v="0"/>
    <x v="0"/>
    <x v="1"/>
    <n v="6"/>
    <x v="0"/>
    <n v="2.7"/>
    <n v="2.85"/>
    <n v="0.3"/>
    <x v="1"/>
    <x v="0"/>
    <x v="8"/>
    <n v="10"/>
    <n v="3"/>
    <x v="0"/>
  </r>
  <r>
    <x v="1"/>
    <x v="0"/>
    <x v="42"/>
    <x v="2"/>
    <x v="1"/>
    <n v="8.5"/>
    <x v="1"/>
    <n v="1.5"/>
    <n v="3.55"/>
    <n v="1.3"/>
    <x v="0"/>
    <x v="0"/>
    <x v="5"/>
    <n v="6"/>
    <n v="1"/>
    <x v="0"/>
  </r>
  <r>
    <x v="2"/>
    <x v="1"/>
    <x v="37"/>
    <x v="2"/>
    <x v="0"/>
    <n v="4.0999999999999996"/>
    <x v="0"/>
    <n v="2.9"/>
    <n v="2.33"/>
    <n v="0.4"/>
    <x v="1"/>
    <x v="1"/>
    <x v="8"/>
    <n v="6"/>
    <n v="8"/>
    <x v="0"/>
  </r>
  <r>
    <x v="1"/>
    <x v="0"/>
    <x v="59"/>
    <x v="0"/>
    <x v="0"/>
    <n v="8.3000000000000007"/>
    <x v="1"/>
    <n v="2.1"/>
    <n v="3.09"/>
    <n v="1.5"/>
    <x v="0"/>
    <x v="0"/>
    <x v="8"/>
    <n v="7"/>
    <n v="3"/>
    <x v="0"/>
  </r>
  <r>
    <x v="0"/>
    <x v="1"/>
    <x v="58"/>
    <x v="2"/>
    <x v="1"/>
    <n v="8.3000000000000007"/>
    <x v="1"/>
    <n v="2.7"/>
    <n v="3.9"/>
    <n v="0.7"/>
    <x v="1"/>
    <x v="1"/>
    <x v="3"/>
    <n v="1"/>
    <n v="5"/>
    <x v="0"/>
  </r>
  <r>
    <x v="4"/>
    <x v="0"/>
    <x v="30"/>
    <x v="2"/>
    <x v="2"/>
    <n v="7.9"/>
    <x v="0"/>
    <n v="1.7"/>
    <n v="2.85"/>
    <n v="0.3"/>
    <x v="1"/>
    <x v="2"/>
    <x v="2"/>
    <n v="1"/>
    <n v="2"/>
    <x v="0"/>
  </r>
  <r>
    <x v="2"/>
    <x v="1"/>
    <x v="69"/>
    <x v="2"/>
    <x v="0"/>
    <n v="4.9000000000000004"/>
    <x v="0"/>
    <n v="2.6"/>
    <n v="3.64"/>
    <n v="0.8"/>
    <x v="1"/>
    <x v="2"/>
    <x v="4"/>
    <n v="8"/>
    <n v="3"/>
    <x v="0"/>
  </r>
  <r>
    <x v="2"/>
    <x v="1"/>
    <x v="67"/>
    <x v="2"/>
    <x v="2"/>
    <n v="7.5"/>
    <x v="0"/>
    <n v="2.2000000000000002"/>
    <n v="2.95"/>
    <n v="1.6"/>
    <x v="0"/>
    <x v="0"/>
    <x v="8"/>
    <n v="7"/>
    <n v="4"/>
    <x v="0"/>
  </r>
  <r>
    <x v="0"/>
    <x v="0"/>
    <x v="63"/>
    <x v="1"/>
    <x v="2"/>
    <n v="4.5"/>
    <x v="0"/>
    <n v="1.4"/>
    <n v="3.17"/>
    <n v="1.7"/>
    <x v="0"/>
    <x v="1"/>
    <x v="8"/>
    <n v="10"/>
    <n v="9"/>
    <x v="0"/>
  </r>
  <r>
    <x v="4"/>
    <x v="0"/>
    <x v="34"/>
    <x v="2"/>
    <x v="0"/>
    <n v="4.4000000000000004"/>
    <x v="0"/>
    <n v="1.9"/>
    <n v="2.2599999999999998"/>
    <n v="0"/>
    <x v="2"/>
    <x v="0"/>
    <x v="9"/>
    <n v="8"/>
    <n v="10"/>
    <x v="0"/>
  </r>
  <r>
    <x v="0"/>
    <x v="1"/>
    <x v="61"/>
    <x v="2"/>
    <x v="0"/>
    <n v="5.7"/>
    <x v="0"/>
    <n v="2"/>
    <n v="3.9"/>
    <n v="1"/>
    <x v="1"/>
    <x v="0"/>
    <x v="1"/>
    <n v="4"/>
    <n v="6"/>
    <x v="0"/>
  </r>
  <r>
    <x v="2"/>
    <x v="0"/>
    <x v="7"/>
    <x v="2"/>
    <x v="1"/>
    <n v="5.7"/>
    <x v="0"/>
    <n v="2"/>
    <n v="3.71"/>
    <n v="0.1"/>
    <x v="1"/>
    <x v="0"/>
    <x v="4"/>
    <n v="6"/>
    <n v="8"/>
    <x v="0"/>
  </r>
  <r>
    <x v="3"/>
    <x v="0"/>
    <x v="33"/>
    <x v="2"/>
    <x v="2"/>
    <n v="5.6"/>
    <x v="0"/>
    <n v="1.1000000000000001"/>
    <n v="2.88"/>
    <n v="0.1"/>
    <x v="1"/>
    <x v="2"/>
    <x v="6"/>
    <n v="8"/>
    <n v="7"/>
    <x v="0"/>
  </r>
  <r>
    <x v="4"/>
    <x v="0"/>
    <x v="27"/>
    <x v="2"/>
    <x v="2"/>
    <n v="5.8"/>
    <x v="0"/>
    <n v="1.3"/>
    <n v="2.12"/>
    <n v="0.1"/>
    <x v="1"/>
    <x v="0"/>
    <x v="2"/>
    <n v="9"/>
    <n v="2"/>
    <x v="0"/>
  </r>
  <r>
    <x v="2"/>
    <x v="1"/>
    <x v="47"/>
    <x v="1"/>
    <x v="1"/>
    <n v="5.9"/>
    <x v="0"/>
    <n v="1.9"/>
    <n v="2.89"/>
    <n v="0.6"/>
    <x v="1"/>
    <x v="0"/>
    <x v="1"/>
    <n v="8"/>
    <n v="5"/>
    <x v="0"/>
  </r>
  <r>
    <x v="6"/>
    <x v="0"/>
    <x v="21"/>
    <x v="2"/>
    <x v="1"/>
    <n v="4.5"/>
    <x v="0"/>
    <n v="0.7"/>
    <n v="2.71"/>
    <n v="0.2"/>
    <x v="1"/>
    <x v="0"/>
    <x v="4"/>
    <n v="3"/>
    <n v="7"/>
    <x v="0"/>
  </r>
  <r>
    <x v="0"/>
    <x v="0"/>
    <x v="26"/>
    <x v="2"/>
    <x v="2"/>
    <n v="6.3"/>
    <x v="0"/>
    <n v="0.6"/>
    <n v="3.88"/>
    <n v="0.3"/>
    <x v="1"/>
    <x v="2"/>
    <x v="4"/>
    <n v="6"/>
    <n v="6"/>
    <x v="0"/>
  </r>
  <r>
    <x v="5"/>
    <x v="0"/>
    <x v="3"/>
    <x v="0"/>
    <x v="1"/>
    <n v="7.5"/>
    <x v="0"/>
    <n v="1.7"/>
    <n v="3.16"/>
    <n v="1.8"/>
    <x v="0"/>
    <x v="2"/>
    <x v="0"/>
    <n v="3"/>
    <n v="2"/>
    <x v="0"/>
  </r>
  <r>
    <x v="3"/>
    <x v="0"/>
    <x v="10"/>
    <x v="2"/>
    <x v="1"/>
    <n v="4.5999999999999996"/>
    <x v="0"/>
    <n v="1.1000000000000001"/>
    <n v="2.94"/>
    <n v="1.8"/>
    <x v="0"/>
    <x v="1"/>
    <x v="6"/>
    <n v="2"/>
    <n v="3"/>
    <x v="0"/>
  </r>
  <r>
    <x v="5"/>
    <x v="0"/>
    <x v="21"/>
    <x v="2"/>
    <x v="1"/>
    <n v="8.8000000000000007"/>
    <x v="1"/>
    <n v="1"/>
    <n v="2.5099999999999998"/>
    <n v="2"/>
    <x v="0"/>
    <x v="2"/>
    <x v="4"/>
    <n v="10"/>
    <n v="10"/>
    <x v="0"/>
  </r>
  <r>
    <x v="4"/>
    <x v="0"/>
    <x v="47"/>
    <x v="1"/>
    <x v="1"/>
    <n v="5.2"/>
    <x v="0"/>
    <n v="1.4"/>
    <n v="2.68"/>
    <n v="0.1"/>
    <x v="1"/>
    <x v="1"/>
    <x v="4"/>
    <n v="2"/>
    <n v="10"/>
    <x v="0"/>
  </r>
  <r>
    <x v="5"/>
    <x v="1"/>
    <x v="2"/>
    <x v="1"/>
    <x v="0"/>
    <n v="4.9000000000000004"/>
    <x v="0"/>
    <n v="2.6"/>
    <n v="2.89"/>
    <n v="0.2"/>
    <x v="1"/>
    <x v="0"/>
    <x v="0"/>
    <n v="5"/>
    <n v="2"/>
    <x v="0"/>
  </r>
  <r>
    <x v="3"/>
    <x v="0"/>
    <x v="56"/>
    <x v="2"/>
    <x v="0"/>
    <n v="4.4000000000000004"/>
    <x v="0"/>
    <n v="2.1"/>
    <n v="3.43"/>
    <n v="1.9"/>
    <x v="0"/>
    <x v="0"/>
    <x v="4"/>
    <n v="6"/>
    <n v="7"/>
    <x v="0"/>
  </r>
  <r>
    <x v="0"/>
    <x v="0"/>
    <x v="40"/>
    <x v="2"/>
    <x v="0"/>
    <n v="7.7"/>
    <x v="0"/>
    <n v="1.4"/>
    <n v="2.86"/>
    <n v="1.7"/>
    <x v="0"/>
    <x v="1"/>
    <x v="3"/>
    <n v="5"/>
    <n v="1"/>
    <x v="0"/>
  </r>
  <r>
    <x v="4"/>
    <x v="1"/>
    <x v="55"/>
    <x v="2"/>
    <x v="2"/>
    <n v="4.5"/>
    <x v="0"/>
    <n v="1.3"/>
    <n v="3.06"/>
    <n v="0.3"/>
    <x v="1"/>
    <x v="2"/>
    <x v="9"/>
    <n v="8"/>
    <n v="1"/>
    <x v="0"/>
  </r>
  <r>
    <x v="3"/>
    <x v="0"/>
    <x v="31"/>
    <x v="2"/>
    <x v="0"/>
    <n v="7.8"/>
    <x v="0"/>
    <n v="0.7"/>
    <n v="2.6"/>
    <n v="0.7"/>
    <x v="1"/>
    <x v="1"/>
    <x v="6"/>
    <n v="4"/>
    <n v="2"/>
    <x v="0"/>
  </r>
  <r>
    <x v="1"/>
    <x v="0"/>
    <x v="50"/>
    <x v="2"/>
    <x v="0"/>
    <n v="6.2"/>
    <x v="0"/>
    <n v="2.6"/>
    <n v="3.72"/>
    <n v="1.9"/>
    <x v="0"/>
    <x v="1"/>
    <x v="8"/>
    <n v="5"/>
    <n v="7"/>
    <x v="0"/>
  </r>
  <r>
    <x v="6"/>
    <x v="0"/>
    <x v="57"/>
    <x v="2"/>
    <x v="2"/>
    <n v="8.1999999999999993"/>
    <x v="1"/>
    <n v="1.5"/>
    <n v="3.98"/>
    <n v="1.4"/>
    <x v="0"/>
    <x v="1"/>
    <x v="8"/>
    <n v="6"/>
    <n v="6"/>
    <x v="0"/>
  </r>
  <r>
    <x v="3"/>
    <x v="0"/>
    <x v="2"/>
    <x v="1"/>
    <x v="1"/>
    <n v="7.5"/>
    <x v="0"/>
    <n v="1.3"/>
    <n v="2.99"/>
    <n v="1.4"/>
    <x v="0"/>
    <x v="0"/>
    <x v="2"/>
    <n v="5"/>
    <n v="2"/>
    <x v="0"/>
  </r>
  <r>
    <x v="4"/>
    <x v="1"/>
    <x v="12"/>
    <x v="2"/>
    <x v="1"/>
    <n v="6.2"/>
    <x v="0"/>
    <n v="0.5"/>
    <n v="3.98"/>
    <n v="1.7"/>
    <x v="0"/>
    <x v="2"/>
    <x v="9"/>
    <n v="6"/>
    <n v="3"/>
    <x v="0"/>
  </r>
  <r>
    <x v="6"/>
    <x v="0"/>
    <x v="6"/>
    <x v="2"/>
    <x v="1"/>
    <n v="5"/>
    <x v="0"/>
    <n v="2.9"/>
    <n v="3.84"/>
    <n v="0.1"/>
    <x v="1"/>
    <x v="0"/>
    <x v="9"/>
    <n v="8"/>
    <n v="10"/>
    <x v="0"/>
  </r>
  <r>
    <x v="5"/>
    <x v="1"/>
    <x v="29"/>
    <x v="2"/>
    <x v="0"/>
    <n v="6.7"/>
    <x v="0"/>
    <n v="1.4"/>
    <n v="2.44"/>
    <n v="0.3"/>
    <x v="1"/>
    <x v="0"/>
    <x v="2"/>
    <n v="3"/>
    <n v="1"/>
    <x v="0"/>
  </r>
  <r>
    <x v="1"/>
    <x v="0"/>
    <x v="37"/>
    <x v="2"/>
    <x v="2"/>
    <n v="7.5"/>
    <x v="0"/>
    <n v="1.9"/>
    <n v="2.08"/>
    <n v="0.1"/>
    <x v="1"/>
    <x v="1"/>
    <x v="0"/>
    <n v="1"/>
    <n v="3"/>
    <x v="0"/>
  </r>
  <r>
    <x v="5"/>
    <x v="0"/>
    <x v="37"/>
    <x v="2"/>
    <x v="2"/>
    <n v="8.9"/>
    <x v="1"/>
    <n v="1.1000000000000001"/>
    <n v="2.08"/>
    <n v="1.9"/>
    <x v="0"/>
    <x v="2"/>
    <x v="1"/>
    <n v="5"/>
    <n v="9"/>
    <x v="0"/>
  </r>
  <r>
    <x v="6"/>
    <x v="0"/>
    <x v="50"/>
    <x v="2"/>
    <x v="1"/>
    <n v="5.0999999999999996"/>
    <x v="0"/>
    <n v="1.6"/>
    <n v="2.87"/>
    <n v="1.8"/>
    <x v="0"/>
    <x v="2"/>
    <x v="6"/>
    <n v="9"/>
    <n v="8"/>
    <x v="0"/>
  </r>
  <r>
    <x v="5"/>
    <x v="1"/>
    <x v="33"/>
    <x v="2"/>
    <x v="2"/>
    <n v="4"/>
    <x v="0"/>
    <n v="2.4"/>
    <n v="2.35"/>
    <n v="1.6"/>
    <x v="0"/>
    <x v="0"/>
    <x v="7"/>
    <n v="5"/>
    <n v="2"/>
    <x v="0"/>
  </r>
  <r>
    <x v="2"/>
    <x v="0"/>
    <x v="22"/>
    <x v="2"/>
    <x v="1"/>
    <n v="6"/>
    <x v="0"/>
    <n v="0.7"/>
    <n v="3.67"/>
    <n v="1.5"/>
    <x v="0"/>
    <x v="0"/>
    <x v="9"/>
    <n v="9"/>
    <n v="2"/>
    <x v="0"/>
  </r>
  <r>
    <x v="3"/>
    <x v="0"/>
    <x v="3"/>
    <x v="0"/>
    <x v="2"/>
    <n v="5.9"/>
    <x v="0"/>
    <n v="2.6"/>
    <n v="2.89"/>
    <n v="1.9"/>
    <x v="0"/>
    <x v="2"/>
    <x v="9"/>
    <n v="3"/>
    <n v="8"/>
    <x v="0"/>
  </r>
  <r>
    <x v="4"/>
    <x v="1"/>
    <x v="38"/>
    <x v="0"/>
    <x v="0"/>
    <n v="4.8"/>
    <x v="0"/>
    <n v="2.1"/>
    <n v="2.5099999999999998"/>
    <n v="0.9"/>
    <x v="1"/>
    <x v="1"/>
    <x v="2"/>
    <n v="1"/>
    <n v="10"/>
    <x v="0"/>
  </r>
  <r>
    <x v="5"/>
    <x v="0"/>
    <x v="52"/>
    <x v="2"/>
    <x v="1"/>
    <n v="7.4"/>
    <x v="0"/>
    <n v="1.9"/>
    <n v="2.2200000000000002"/>
    <n v="1.1000000000000001"/>
    <x v="0"/>
    <x v="2"/>
    <x v="7"/>
    <n v="10"/>
    <n v="2"/>
    <x v="0"/>
  </r>
  <r>
    <x v="6"/>
    <x v="0"/>
    <x v="3"/>
    <x v="0"/>
    <x v="2"/>
    <n v="7"/>
    <x v="0"/>
    <n v="1.8"/>
    <n v="2.17"/>
    <n v="1.4"/>
    <x v="0"/>
    <x v="2"/>
    <x v="8"/>
    <n v="10"/>
    <n v="5"/>
    <x v="0"/>
  </r>
  <r>
    <x v="3"/>
    <x v="1"/>
    <x v="40"/>
    <x v="2"/>
    <x v="0"/>
    <n v="6.4"/>
    <x v="0"/>
    <n v="1.7"/>
    <n v="2.87"/>
    <n v="1.8"/>
    <x v="0"/>
    <x v="1"/>
    <x v="4"/>
    <n v="6"/>
    <n v="6"/>
    <x v="0"/>
  </r>
  <r>
    <x v="3"/>
    <x v="1"/>
    <x v="28"/>
    <x v="2"/>
    <x v="2"/>
    <n v="8.6"/>
    <x v="1"/>
    <n v="2"/>
    <n v="3.01"/>
    <n v="0"/>
    <x v="2"/>
    <x v="0"/>
    <x v="2"/>
    <n v="8"/>
    <n v="3"/>
    <x v="0"/>
  </r>
  <r>
    <x v="1"/>
    <x v="0"/>
    <x v="14"/>
    <x v="1"/>
    <x v="1"/>
    <n v="6.7"/>
    <x v="0"/>
    <n v="1"/>
    <n v="3.9"/>
    <n v="0.4"/>
    <x v="1"/>
    <x v="0"/>
    <x v="6"/>
    <n v="3"/>
    <n v="3"/>
    <x v="0"/>
  </r>
  <r>
    <x v="3"/>
    <x v="1"/>
    <x v="37"/>
    <x v="2"/>
    <x v="0"/>
    <n v="7.1"/>
    <x v="0"/>
    <n v="1.1000000000000001"/>
    <n v="3.72"/>
    <n v="1.5"/>
    <x v="0"/>
    <x v="0"/>
    <x v="8"/>
    <n v="6"/>
    <n v="6"/>
    <x v="0"/>
  </r>
  <r>
    <x v="2"/>
    <x v="1"/>
    <x v="31"/>
    <x v="2"/>
    <x v="1"/>
    <n v="4.9000000000000004"/>
    <x v="0"/>
    <n v="2.1"/>
    <n v="2.78"/>
    <n v="1"/>
    <x v="1"/>
    <x v="1"/>
    <x v="0"/>
    <n v="2"/>
    <n v="6"/>
    <x v="0"/>
  </r>
  <r>
    <x v="5"/>
    <x v="1"/>
    <x v="56"/>
    <x v="2"/>
    <x v="1"/>
    <n v="8.1999999999999993"/>
    <x v="1"/>
    <n v="2.4"/>
    <n v="3.25"/>
    <n v="0.1"/>
    <x v="1"/>
    <x v="1"/>
    <x v="2"/>
    <n v="1"/>
    <n v="8"/>
    <x v="0"/>
  </r>
  <r>
    <x v="2"/>
    <x v="1"/>
    <x v="67"/>
    <x v="2"/>
    <x v="1"/>
    <n v="6.5"/>
    <x v="0"/>
    <n v="3"/>
    <n v="2.4900000000000002"/>
    <n v="0.2"/>
    <x v="1"/>
    <x v="2"/>
    <x v="5"/>
    <n v="8"/>
    <n v="4"/>
    <x v="0"/>
  </r>
  <r>
    <x v="0"/>
    <x v="0"/>
    <x v="69"/>
    <x v="2"/>
    <x v="1"/>
    <n v="7.4"/>
    <x v="0"/>
    <n v="2.9"/>
    <n v="3.54"/>
    <n v="1.1000000000000001"/>
    <x v="0"/>
    <x v="1"/>
    <x v="1"/>
    <n v="4"/>
    <n v="10"/>
    <x v="0"/>
  </r>
  <r>
    <x v="2"/>
    <x v="1"/>
    <x v="24"/>
    <x v="2"/>
    <x v="2"/>
    <n v="7.4"/>
    <x v="0"/>
    <n v="2.2000000000000002"/>
    <n v="2.63"/>
    <n v="0.6"/>
    <x v="1"/>
    <x v="1"/>
    <x v="9"/>
    <n v="4"/>
    <n v="9"/>
    <x v="0"/>
  </r>
  <r>
    <x v="1"/>
    <x v="1"/>
    <x v="33"/>
    <x v="2"/>
    <x v="0"/>
    <n v="6.6"/>
    <x v="0"/>
    <n v="1.6"/>
    <n v="2.36"/>
    <n v="1.4"/>
    <x v="0"/>
    <x v="0"/>
    <x v="0"/>
    <n v="6"/>
    <n v="10"/>
    <x v="0"/>
  </r>
  <r>
    <x v="2"/>
    <x v="0"/>
    <x v="4"/>
    <x v="2"/>
    <x v="1"/>
    <n v="5.0999999999999996"/>
    <x v="0"/>
    <n v="2"/>
    <n v="2.35"/>
    <n v="1.8"/>
    <x v="0"/>
    <x v="0"/>
    <x v="1"/>
    <n v="9"/>
    <n v="1"/>
    <x v="0"/>
  </r>
  <r>
    <x v="1"/>
    <x v="1"/>
    <x v="38"/>
    <x v="0"/>
    <x v="2"/>
    <n v="6.3"/>
    <x v="0"/>
    <n v="2.2000000000000002"/>
    <n v="3.88"/>
    <n v="0.8"/>
    <x v="1"/>
    <x v="1"/>
    <x v="7"/>
    <n v="4"/>
    <n v="9"/>
    <x v="0"/>
  </r>
  <r>
    <x v="1"/>
    <x v="1"/>
    <x v="64"/>
    <x v="2"/>
    <x v="2"/>
    <n v="8.1"/>
    <x v="1"/>
    <n v="1.4"/>
    <n v="2.66"/>
    <n v="1.9"/>
    <x v="0"/>
    <x v="0"/>
    <x v="8"/>
    <n v="4"/>
    <n v="2"/>
    <x v="0"/>
  </r>
  <r>
    <x v="2"/>
    <x v="1"/>
    <x v="2"/>
    <x v="1"/>
    <x v="0"/>
    <n v="5.0999999999999996"/>
    <x v="0"/>
    <n v="2.2000000000000002"/>
    <n v="3.44"/>
    <n v="0.6"/>
    <x v="1"/>
    <x v="1"/>
    <x v="9"/>
    <n v="8"/>
    <n v="6"/>
    <x v="0"/>
  </r>
  <r>
    <x v="4"/>
    <x v="0"/>
    <x v="44"/>
    <x v="2"/>
    <x v="2"/>
    <n v="7.8"/>
    <x v="0"/>
    <n v="1.9"/>
    <n v="3.15"/>
    <n v="0.4"/>
    <x v="1"/>
    <x v="2"/>
    <x v="1"/>
    <n v="3"/>
    <n v="2"/>
    <x v="0"/>
  </r>
  <r>
    <x v="3"/>
    <x v="0"/>
    <x v="10"/>
    <x v="2"/>
    <x v="0"/>
    <n v="8.1"/>
    <x v="1"/>
    <n v="2.2999999999999998"/>
    <n v="3.46"/>
    <n v="1.3"/>
    <x v="0"/>
    <x v="0"/>
    <x v="5"/>
    <n v="4"/>
    <n v="9"/>
    <x v="0"/>
  </r>
  <r>
    <x v="0"/>
    <x v="1"/>
    <x v="10"/>
    <x v="2"/>
    <x v="1"/>
    <n v="5.0999999999999996"/>
    <x v="0"/>
    <n v="1.5"/>
    <n v="3.85"/>
    <n v="0.2"/>
    <x v="1"/>
    <x v="1"/>
    <x v="3"/>
    <n v="4"/>
    <n v="10"/>
    <x v="0"/>
  </r>
  <r>
    <x v="4"/>
    <x v="0"/>
    <x v="29"/>
    <x v="2"/>
    <x v="1"/>
    <n v="8.5"/>
    <x v="1"/>
    <n v="2.8"/>
    <n v="3.77"/>
    <n v="1.3"/>
    <x v="0"/>
    <x v="0"/>
    <x v="5"/>
    <n v="4"/>
    <n v="3"/>
    <x v="0"/>
  </r>
  <r>
    <x v="4"/>
    <x v="1"/>
    <x v="58"/>
    <x v="2"/>
    <x v="2"/>
    <n v="4.5999999999999996"/>
    <x v="0"/>
    <n v="2"/>
    <n v="2.2400000000000002"/>
    <n v="1.5"/>
    <x v="0"/>
    <x v="2"/>
    <x v="7"/>
    <n v="2"/>
    <n v="5"/>
    <x v="0"/>
  </r>
  <r>
    <x v="5"/>
    <x v="0"/>
    <x v="4"/>
    <x v="2"/>
    <x v="0"/>
    <n v="8.1999999999999993"/>
    <x v="1"/>
    <n v="2.7"/>
    <n v="3.04"/>
    <n v="0.3"/>
    <x v="1"/>
    <x v="1"/>
    <x v="2"/>
    <n v="3"/>
    <n v="4"/>
    <x v="0"/>
  </r>
  <r>
    <x v="4"/>
    <x v="1"/>
    <x v="57"/>
    <x v="2"/>
    <x v="2"/>
    <n v="5.0999999999999996"/>
    <x v="0"/>
    <n v="1.4"/>
    <n v="2.33"/>
    <n v="0.6"/>
    <x v="1"/>
    <x v="0"/>
    <x v="0"/>
    <n v="7"/>
    <n v="4"/>
    <x v="0"/>
  </r>
  <r>
    <x v="0"/>
    <x v="1"/>
    <x v="21"/>
    <x v="2"/>
    <x v="1"/>
    <n v="7.3"/>
    <x v="0"/>
    <n v="2.2999999999999998"/>
    <n v="2.8"/>
    <n v="1.5"/>
    <x v="0"/>
    <x v="2"/>
    <x v="6"/>
    <n v="6"/>
    <n v="5"/>
    <x v="0"/>
  </r>
  <r>
    <x v="0"/>
    <x v="1"/>
    <x v="15"/>
    <x v="2"/>
    <x v="0"/>
    <n v="6.9"/>
    <x v="0"/>
    <n v="1.9"/>
    <n v="2.2000000000000002"/>
    <n v="1.2"/>
    <x v="0"/>
    <x v="2"/>
    <x v="3"/>
    <n v="4"/>
    <n v="2"/>
    <x v="0"/>
  </r>
  <r>
    <x v="4"/>
    <x v="0"/>
    <x v="36"/>
    <x v="2"/>
    <x v="1"/>
    <n v="7.5"/>
    <x v="0"/>
    <n v="0.6"/>
    <n v="2.25"/>
    <n v="1"/>
    <x v="1"/>
    <x v="1"/>
    <x v="6"/>
    <n v="7"/>
    <n v="4"/>
    <x v="0"/>
  </r>
  <r>
    <x v="6"/>
    <x v="0"/>
    <x v="47"/>
    <x v="1"/>
    <x v="0"/>
    <n v="4.4000000000000004"/>
    <x v="0"/>
    <n v="0.6"/>
    <n v="3.48"/>
    <n v="1.7"/>
    <x v="0"/>
    <x v="2"/>
    <x v="3"/>
    <n v="1"/>
    <n v="10"/>
    <x v="0"/>
  </r>
  <r>
    <x v="3"/>
    <x v="1"/>
    <x v="23"/>
    <x v="2"/>
    <x v="0"/>
    <n v="4.7"/>
    <x v="0"/>
    <n v="1.3"/>
    <n v="3.55"/>
    <n v="1.3"/>
    <x v="0"/>
    <x v="0"/>
    <x v="0"/>
    <n v="6"/>
    <n v="5"/>
    <x v="0"/>
  </r>
  <r>
    <x v="6"/>
    <x v="1"/>
    <x v="64"/>
    <x v="2"/>
    <x v="0"/>
    <n v="7.9"/>
    <x v="0"/>
    <n v="2.7"/>
    <n v="3.76"/>
    <n v="0.1"/>
    <x v="1"/>
    <x v="2"/>
    <x v="7"/>
    <n v="7"/>
    <n v="2"/>
    <x v="0"/>
  </r>
  <r>
    <x v="2"/>
    <x v="1"/>
    <x v="16"/>
    <x v="2"/>
    <x v="2"/>
    <n v="7.9"/>
    <x v="0"/>
    <n v="1.4"/>
    <n v="3.91"/>
    <n v="0.4"/>
    <x v="1"/>
    <x v="1"/>
    <x v="3"/>
    <n v="3"/>
    <n v="1"/>
    <x v="0"/>
  </r>
  <r>
    <x v="2"/>
    <x v="1"/>
    <x v="67"/>
    <x v="2"/>
    <x v="2"/>
    <n v="7.2"/>
    <x v="0"/>
    <n v="0.5"/>
    <n v="2.38"/>
    <n v="1.2"/>
    <x v="0"/>
    <x v="2"/>
    <x v="7"/>
    <n v="4"/>
    <n v="8"/>
    <x v="0"/>
  </r>
  <r>
    <x v="2"/>
    <x v="1"/>
    <x v="43"/>
    <x v="1"/>
    <x v="1"/>
    <n v="6.8"/>
    <x v="0"/>
    <n v="0.6"/>
    <n v="2.2799999999999998"/>
    <n v="1.6"/>
    <x v="0"/>
    <x v="2"/>
    <x v="8"/>
    <n v="3"/>
    <n v="7"/>
    <x v="0"/>
  </r>
  <r>
    <x v="5"/>
    <x v="1"/>
    <x v="31"/>
    <x v="2"/>
    <x v="1"/>
    <n v="5.9"/>
    <x v="0"/>
    <n v="2.8"/>
    <n v="3.81"/>
    <n v="1.3"/>
    <x v="0"/>
    <x v="1"/>
    <x v="2"/>
    <n v="3"/>
    <n v="7"/>
    <x v="0"/>
  </r>
  <r>
    <x v="1"/>
    <x v="1"/>
    <x v="66"/>
    <x v="2"/>
    <x v="0"/>
    <n v="5.9"/>
    <x v="0"/>
    <n v="1.5"/>
    <n v="2.85"/>
    <n v="0.6"/>
    <x v="1"/>
    <x v="1"/>
    <x v="7"/>
    <n v="9"/>
    <n v="4"/>
    <x v="0"/>
  </r>
  <r>
    <x v="6"/>
    <x v="0"/>
    <x v="67"/>
    <x v="2"/>
    <x v="2"/>
    <n v="5.8"/>
    <x v="0"/>
    <n v="2"/>
    <n v="3.63"/>
    <n v="1.9"/>
    <x v="0"/>
    <x v="0"/>
    <x v="6"/>
    <n v="4"/>
    <n v="10"/>
    <x v="0"/>
  </r>
  <r>
    <x v="1"/>
    <x v="0"/>
    <x v="12"/>
    <x v="2"/>
    <x v="0"/>
    <n v="4.8"/>
    <x v="0"/>
    <n v="2.2000000000000002"/>
    <n v="3.66"/>
    <n v="0.9"/>
    <x v="1"/>
    <x v="0"/>
    <x v="3"/>
    <n v="7"/>
    <n v="5"/>
    <x v="0"/>
  </r>
  <r>
    <x v="3"/>
    <x v="0"/>
    <x v="20"/>
    <x v="2"/>
    <x v="2"/>
    <n v="7.3"/>
    <x v="0"/>
    <n v="1.9"/>
    <n v="2.5099999999999998"/>
    <n v="1.4"/>
    <x v="0"/>
    <x v="1"/>
    <x v="7"/>
    <n v="4"/>
    <n v="2"/>
    <x v="0"/>
  </r>
  <r>
    <x v="0"/>
    <x v="0"/>
    <x v="15"/>
    <x v="2"/>
    <x v="1"/>
    <n v="8.8000000000000007"/>
    <x v="1"/>
    <n v="1.5"/>
    <n v="3.91"/>
    <n v="0.6"/>
    <x v="1"/>
    <x v="2"/>
    <x v="6"/>
    <n v="9"/>
    <n v="6"/>
    <x v="0"/>
  </r>
  <r>
    <x v="5"/>
    <x v="0"/>
    <x v="65"/>
    <x v="1"/>
    <x v="1"/>
    <n v="4.9000000000000004"/>
    <x v="0"/>
    <n v="0.6"/>
    <n v="3.38"/>
    <n v="1.1000000000000001"/>
    <x v="0"/>
    <x v="2"/>
    <x v="7"/>
    <n v="4"/>
    <n v="6"/>
    <x v="0"/>
  </r>
  <r>
    <x v="1"/>
    <x v="1"/>
    <x v="16"/>
    <x v="2"/>
    <x v="0"/>
    <n v="7.3"/>
    <x v="0"/>
    <n v="2.8"/>
    <n v="2.2599999999999998"/>
    <n v="1.4"/>
    <x v="0"/>
    <x v="1"/>
    <x v="9"/>
    <n v="6"/>
    <n v="8"/>
    <x v="0"/>
  </r>
  <r>
    <x v="6"/>
    <x v="1"/>
    <x v="53"/>
    <x v="0"/>
    <x v="0"/>
    <n v="7.4"/>
    <x v="0"/>
    <n v="1.7"/>
    <n v="2.76"/>
    <n v="1.1000000000000001"/>
    <x v="0"/>
    <x v="0"/>
    <x v="7"/>
    <n v="1"/>
    <n v="4"/>
    <x v="0"/>
  </r>
  <r>
    <x v="4"/>
    <x v="1"/>
    <x v="56"/>
    <x v="2"/>
    <x v="2"/>
    <n v="6.7"/>
    <x v="0"/>
    <n v="0.9"/>
    <n v="3.73"/>
    <n v="0.7"/>
    <x v="1"/>
    <x v="0"/>
    <x v="3"/>
    <n v="5"/>
    <n v="7"/>
    <x v="0"/>
  </r>
  <r>
    <x v="2"/>
    <x v="1"/>
    <x v="49"/>
    <x v="2"/>
    <x v="1"/>
    <n v="8.6"/>
    <x v="1"/>
    <n v="1.9"/>
    <n v="3.33"/>
    <n v="1.1000000000000001"/>
    <x v="0"/>
    <x v="0"/>
    <x v="2"/>
    <n v="7"/>
    <n v="8"/>
    <x v="0"/>
  </r>
  <r>
    <x v="4"/>
    <x v="1"/>
    <x v="13"/>
    <x v="2"/>
    <x v="0"/>
    <n v="5.4"/>
    <x v="0"/>
    <n v="0.9"/>
    <n v="3.45"/>
    <n v="0.5"/>
    <x v="1"/>
    <x v="2"/>
    <x v="2"/>
    <n v="10"/>
    <n v="2"/>
    <x v="0"/>
  </r>
  <r>
    <x v="4"/>
    <x v="0"/>
    <x v="27"/>
    <x v="2"/>
    <x v="2"/>
    <n v="7.6"/>
    <x v="0"/>
    <n v="2"/>
    <n v="3.94"/>
    <n v="0.5"/>
    <x v="1"/>
    <x v="0"/>
    <x v="6"/>
    <n v="3"/>
    <n v="3"/>
    <x v="0"/>
  </r>
  <r>
    <x v="2"/>
    <x v="0"/>
    <x v="65"/>
    <x v="1"/>
    <x v="2"/>
    <n v="8.6"/>
    <x v="1"/>
    <n v="0.9"/>
    <n v="2.36"/>
    <n v="1.7"/>
    <x v="0"/>
    <x v="0"/>
    <x v="8"/>
    <n v="1"/>
    <n v="3"/>
    <x v="0"/>
  </r>
  <r>
    <x v="2"/>
    <x v="0"/>
    <x v="11"/>
    <x v="2"/>
    <x v="0"/>
    <n v="4.7"/>
    <x v="0"/>
    <n v="0.6"/>
    <n v="3.4"/>
    <n v="0.9"/>
    <x v="1"/>
    <x v="0"/>
    <x v="3"/>
    <n v="9"/>
    <n v="7"/>
    <x v="0"/>
  </r>
  <r>
    <x v="0"/>
    <x v="0"/>
    <x v="55"/>
    <x v="2"/>
    <x v="2"/>
    <n v="7.5"/>
    <x v="0"/>
    <n v="0.5"/>
    <n v="2.1800000000000002"/>
    <n v="1"/>
    <x v="1"/>
    <x v="2"/>
    <x v="5"/>
    <n v="2"/>
    <n v="2"/>
    <x v="0"/>
  </r>
  <r>
    <x v="5"/>
    <x v="0"/>
    <x v="56"/>
    <x v="2"/>
    <x v="0"/>
    <n v="7.7"/>
    <x v="0"/>
    <n v="1.1000000000000001"/>
    <n v="2.27"/>
    <n v="1.1000000000000001"/>
    <x v="0"/>
    <x v="2"/>
    <x v="3"/>
    <n v="2"/>
    <n v="4"/>
    <x v="0"/>
  </r>
  <r>
    <x v="3"/>
    <x v="1"/>
    <x v="50"/>
    <x v="2"/>
    <x v="0"/>
    <n v="4"/>
    <x v="0"/>
    <n v="2"/>
    <n v="3.25"/>
    <n v="0.7"/>
    <x v="1"/>
    <x v="0"/>
    <x v="1"/>
    <n v="4"/>
    <n v="8"/>
    <x v="0"/>
  </r>
  <r>
    <x v="4"/>
    <x v="0"/>
    <x v="1"/>
    <x v="1"/>
    <x v="0"/>
    <n v="5.6"/>
    <x v="0"/>
    <n v="2.2999999999999998"/>
    <n v="2.8"/>
    <n v="1.9"/>
    <x v="0"/>
    <x v="2"/>
    <x v="1"/>
    <n v="1"/>
    <n v="8"/>
    <x v="0"/>
  </r>
  <r>
    <x v="6"/>
    <x v="1"/>
    <x v="35"/>
    <x v="2"/>
    <x v="0"/>
    <n v="6.8"/>
    <x v="0"/>
    <n v="1.5"/>
    <n v="2.35"/>
    <n v="1.8"/>
    <x v="0"/>
    <x v="2"/>
    <x v="9"/>
    <n v="3"/>
    <n v="2"/>
    <x v="0"/>
  </r>
  <r>
    <x v="3"/>
    <x v="1"/>
    <x v="34"/>
    <x v="2"/>
    <x v="0"/>
    <n v="7.7"/>
    <x v="0"/>
    <n v="0.9"/>
    <n v="2.61"/>
    <n v="1.1000000000000001"/>
    <x v="0"/>
    <x v="2"/>
    <x v="8"/>
    <n v="10"/>
    <n v="4"/>
    <x v="0"/>
  </r>
  <r>
    <x v="6"/>
    <x v="1"/>
    <x v="54"/>
    <x v="2"/>
    <x v="1"/>
    <n v="5"/>
    <x v="0"/>
    <n v="2.5"/>
    <n v="2.5499999999999998"/>
    <n v="1.8"/>
    <x v="0"/>
    <x v="1"/>
    <x v="6"/>
    <n v="9"/>
    <n v="2"/>
    <x v="0"/>
  </r>
  <r>
    <x v="6"/>
    <x v="1"/>
    <x v="13"/>
    <x v="2"/>
    <x v="1"/>
    <n v="4.8"/>
    <x v="0"/>
    <n v="2.2000000000000002"/>
    <n v="3.58"/>
    <n v="1.2"/>
    <x v="0"/>
    <x v="2"/>
    <x v="6"/>
    <n v="4"/>
    <n v="7"/>
    <x v="0"/>
  </r>
  <r>
    <x v="1"/>
    <x v="0"/>
    <x v="33"/>
    <x v="2"/>
    <x v="1"/>
    <n v="6.9"/>
    <x v="0"/>
    <n v="2.2999999999999998"/>
    <n v="2.09"/>
    <n v="0.2"/>
    <x v="1"/>
    <x v="1"/>
    <x v="4"/>
    <n v="4"/>
    <n v="8"/>
    <x v="0"/>
  </r>
  <r>
    <x v="6"/>
    <x v="0"/>
    <x v="26"/>
    <x v="2"/>
    <x v="2"/>
    <n v="6.9"/>
    <x v="0"/>
    <n v="1.4"/>
    <n v="2.87"/>
    <n v="1.5"/>
    <x v="0"/>
    <x v="0"/>
    <x v="0"/>
    <n v="6"/>
    <n v="3"/>
    <x v="0"/>
  </r>
  <r>
    <x v="5"/>
    <x v="1"/>
    <x v="66"/>
    <x v="2"/>
    <x v="1"/>
    <n v="7.1"/>
    <x v="0"/>
    <n v="1.4"/>
    <n v="3.85"/>
    <n v="0.4"/>
    <x v="1"/>
    <x v="1"/>
    <x v="9"/>
    <n v="9"/>
    <n v="8"/>
    <x v="0"/>
  </r>
  <r>
    <x v="0"/>
    <x v="0"/>
    <x v="46"/>
    <x v="2"/>
    <x v="0"/>
    <n v="7"/>
    <x v="0"/>
    <n v="1.9"/>
    <n v="2.58"/>
    <n v="0.4"/>
    <x v="1"/>
    <x v="0"/>
    <x v="5"/>
    <n v="7"/>
    <n v="3"/>
    <x v="0"/>
  </r>
  <r>
    <x v="5"/>
    <x v="0"/>
    <x v="26"/>
    <x v="2"/>
    <x v="2"/>
    <n v="7.2"/>
    <x v="0"/>
    <n v="0.6"/>
    <n v="3.98"/>
    <n v="1.7"/>
    <x v="0"/>
    <x v="0"/>
    <x v="4"/>
    <n v="1"/>
    <n v="5"/>
    <x v="0"/>
  </r>
  <r>
    <x v="0"/>
    <x v="0"/>
    <x v="64"/>
    <x v="2"/>
    <x v="2"/>
    <n v="7"/>
    <x v="0"/>
    <n v="1.1000000000000001"/>
    <n v="2.12"/>
    <n v="0.9"/>
    <x v="1"/>
    <x v="1"/>
    <x v="6"/>
    <n v="8"/>
    <n v="1"/>
    <x v="0"/>
  </r>
  <r>
    <x v="4"/>
    <x v="1"/>
    <x v="49"/>
    <x v="2"/>
    <x v="1"/>
    <n v="8.1999999999999993"/>
    <x v="1"/>
    <n v="2.8"/>
    <n v="2.1800000000000002"/>
    <n v="0.5"/>
    <x v="1"/>
    <x v="1"/>
    <x v="1"/>
    <n v="8"/>
    <n v="8"/>
    <x v="0"/>
  </r>
  <r>
    <x v="3"/>
    <x v="1"/>
    <x v="12"/>
    <x v="2"/>
    <x v="0"/>
    <n v="6.1"/>
    <x v="0"/>
    <n v="0.7"/>
    <n v="3.08"/>
    <n v="0.6"/>
    <x v="1"/>
    <x v="2"/>
    <x v="5"/>
    <n v="9"/>
    <n v="7"/>
    <x v="0"/>
  </r>
  <r>
    <x v="6"/>
    <x v="1"/>
    <x v="14"/>
    <x v="1"/>
    <x v="2"/>
    <n v="7.9"/>
    <x v="0"/>
    <n v="1.8"/>
    <n v="2.85"/>
    <n v="1.1000000000000001"/>
    <x v="0"/>
    <x v="2"/>
    <x v="5"/>
    <n v="7"/>
    <n v="1"/>
    <x v="0"/>
  </r>
  <r>
    <x v="3"/>
    <x v="1"/>
    <x v="42"/>
    <x v="2"/>
    <x v="1"/>
    <n v="8.3000000000000007"/>
    <x v="1"/>
    <n v="2.4"/>
    <n v="3.34"/>
    <n v="1.2"/>
    <x v="0"/>
    <x v="1"/>
    <x v="0"/>
    <n v="4"/>
    <n v="9"/>
    <x v="0"/>
  </r>
  <r>
    <x v="0"/>
    <x v="0"/>
    <x v="4"/>
    <x v="2"/>
    <x v="1"/>
    <n v="7.9"/>
    <x v="0"/>
    <n v="2.9"/>
    <n v="2.54"/>
    <n v="0.7"/>
    <x v="1"/>
    <x v="1"/>
    <x v="5"/>
    <n v="8"/>
    <n v="7"/>
    <x v="0"/>
  </r>
  <r>
    <x v="3"/>
    <x v="1"/>
    <x v="26"/>
    <x v="2"/>
    <x v="2"/>
    <n v="8.5"/>
    <x v="1"/>
    <n v="0.8"/>
    <n v="2.91"/>
    <n v="1.3"/>
    <x v="0"/>
    <x v="0"/>
    <x v="4"/>
    <n v="3"/>
    <n v="1"/>
    <x v="0"/>
  </r>
  <r>
    <x v="6"/>
    <x v="1"/>
    <x v="61"/>
    <x v="2"/>
    <x v="2"/>
    <n v="6.4"/>
    <x v="0"/>
    <n v="2.8"/>
    <n v="2.5099999999999998"/>
    <n v="1.9"/>
    <x v="0"/>
    <x v="0"/>
    <x v="4"/>
    <n v="1"/>
    <n v="9"/>
    <x v="0"/>
  </r>
  <r>
    <x v="2"/>
    <x v="1"/>
    <x v="27"/>
    <x v="2"/>
    <x v="1"/>
    <n v="7.3"/>
    <x v="0"/>
    <n v="1.9"/>
    <n v="3.83"/>
    <n v="0.4"/>
    <x v="1"/>
    <x v="1"/>
    <x v="1"/>
    <n v="9"/>
    <n v="9"/>
    <x v="0"/>
  </r>
  <r>
    <x v="2"/>
    <x v="1"/>
    <x v="20"/>
    <x v="2"/>
    <x v="2"/>
    <n v="6.8"/>
    <x v="0"/>
    <n v="1.9"/>
    <n v="3.39"/>
    <n v="1.6"/>
    <x v="0"/>
    <x v="0"/>
    <x v="7"/>
    <n v="6"/>
    <n v="8"/>
    <x v="0"/>
  </r>
  <r>
    <x v="1"/>
    <x v="0"/>
    <x v="8"/>
    <x v="0"/>
    <x v="1"/>
    <n v="6.6"/>
    <x v="0"/>
    <n v="2.9"/>
    <n v="2.74"/>
    <n v="0.3"/>
    <x v="1"/>
    <x v="2"/>
    <x v="2"/>
    <n v="10"/>
    <n v="9"/>
    <x v="0"/>
  </r>
  <r>
    <x v="3"/>
    <x v="0"/>
    <x v="21"/>
    <x v="2"/>
    <x v="2"/>
    <n v="5.7"/>
    <x v="0"/>
    <n v="2.8"/>
    <n v="2.79"/>
    <n v="1.9"/>
    <x v="0"/>
    <x v="2"/>
    <x v="6"/>
    <n v="1"/>
    <n v="4"/>
    <x v="0"/>
  </r>
  <r>
    <x v="2"/>
    <x v="1"/>
    <x v="32"/>
    <x v="0"/>
    <x v="2"/>
    <n v="7.8"/>
    <x v="0"/>
    <n v="1.1000000000000001"/>
    <n v="2.0299999999999998"/>
    <n v="1.1000000000000001"/>
    <x v="0"/>
    <x v="0"/>
    <x v="3"/>
    <n v="10"/>
    <n v="6"/>
    <x v="0"/>
  </r>
  <r>
    <x v="5"/>
    <x v="1"/>
    <x v="14"/>
    <x v="1"/>
    <x v="0"/>
    <n v="8"/>
    <x v="1"/>
    <n v="0.7"/>
    <n v="2.1800000000000002"/>
    <n v="0.6"/>
    <x v="1"/>
    <x v="2"/>
    <x v="6"/>
    <n v="7"/>
    <n v="5"/>
    <x v="0"/>
  </r>
  <r>
    <x v="4"/>
    <x v="1"/>
    <x v="67"/>
    <x v="2"/>
    <x v="0"/>
    <n v="6.5"/>
    <x v="0"/>
    <n v="1.9"/>
    <n v="3.79"/>
    <n v="0.2"/>
    <x v="1"/>
    <x v="0"/>
    <x v="2"/>
    <n v="6"/>
    <n v="2"/>
    <x v="0"/>
  </r>
  <r>
    <x v="6"/>
    <x v="1"/>
    <x v="69"/>
    <x v="2"/>
    <x v="2"/>
    <n v="6.7"/>
    <x v="0"/>
    <n v="1.6"/>
    <n v="3.09"/>
    <n v="1.7"/>
    <x v="0"/>
    <x v="1"/>
    <x v="7"/>
    <n v="1"/>
    <n v="6"/>
    <x v="0"/>
  </r>
  <r>
    <x v="1"/>
    <x v="0"/>
    <x v="56"/>
    <x v="2"/>
    <x v="1"/>
    <n v="5.2"/>
    <x v="0"/>
    <n v="2.5"/>
    <n v="3.1"/>
    <n v="0.3"/>
    <x v="1"/>
    <x v="0"/>
    <x v="8"/>
    <n v="9"/>
    <n v="3"/>
    <x v="0"/>
  </r>
  <r>
    <x v="3"/>
    <x v="1"/>
    <x v="34"/>
    <x v="2"/>
    <x v="2"/>
    <n v="5.4"/>
    <x v="0"/>
    <n v="1.2"/>
    <n v="3.76"/>
    <n v="1.7"/>
    <x v="0"/>
    <x v="1"/>
    <x v="2"/>
    <n v="8"/>
    <n v="7"/>
    <x v="0"/>
  </r>
  <r>
    <x v="6"/>
    <x v="0"/>
    <x v="40"/>
    <x v="2"/>
    <x v="2"/>
    <n v="5.8"/>
    <x v="0"/>
    <n v="0.7"/>
    <n v="2.77"/>
    <n v="1.3"/>
    <x v="0"/>
    <x v="2"/>
    <x v="7"/>
    <n v="3"/>
    <n v="1"/>
    <x v="0"/>
  </r>
  <r>
    <x v="0"/>
    <x v="0"/>
    <x v="37"/>
    <x v="2"/>
    <x v="0"/>
    <n v="5.0999999999999996"/>
    <x v="0"/>
    <n v="2.6"/>
    <n v="2.06"/>
    <n v="1.5"/>
    <x v="0"/>
    <x v="2"/>
    <x v="9"/>
    <n v="5"/>
    <n v="2"/>
    <x v="0"/>
  </r>
  <r>
    <x v="6"/>
    <x v="1"/>
    <x v="8"/>
    <x v="0"/>
    <x v="2"/>
    <n v="4.2"/>
    <x v="0"/>
    <n v="2.5"/>
    <n v="2.65"/>
    <n v="1.6"/>
    <x v="0"/>
    <x v="0"/>
    <x v="7"/>
    <n v="9"/>
    <n v="3"/>
    <x v="1"/>
  </r>
  <r>
    <x v="2"/>
    <x v="1"/>
    <x v="36"/>
    <x v="2"/>
    <x v="2"/>
    <n v="7.5"/>
    <x v="0"/>
    <n v="1.4"/>
    <n v="3.42"/>
    <n v="1.7"/>
    <x v="0"/>
    <x v="0"/>
    <x v="5"/>
    <n v="6"/>
    <n v="3"/>
    <x v="0"/>
  </r>
  <r>
    <x v="2"/>
    <x v="0"/>
    <x v="10"/>
    <x v="2"/>
    <x v="0"/>
    <n v="7.4"/>
    <x v="0"/>
    <n v="0.6"/>
    <n v="3.38"/>
    <n v="1.5"/>
    <x v="0"/>
    <x v="0"/>
    <x v="6"/>
    <n v="7"/>
    <n v="9"/>
    <x v="0"/>
  </r>
  <r>
    <x v="4"/>
    <x v="1"/>
    <x v="43"/>
    <x v="1"/>
    <x v="2"/>
    <n v="4.9000000000000004"/>
    <x v="0"/>
    <n v="2.6"/>
    <n v="2.4300000000000002"/>
    <n v="1.3"/>
    <x v="0"/>
    <x v="1"/>
    <x v="8"/>
    <n v="7"/>
    <n v="6"/>
    <x v="0"/>
  </r>
  <r>
    <x v="1"/>
    <x v="0"/>
    <x v="33"/>
    <x v="2"/>
    <x v="0"/>
    <n v="4.3"/>
    <x v="0"/>
    <n v="1.3"/>
    <n v="2.29"/>
    <n v="1.3"/>
    <x v="0"/>
    <x v="2"/>
    <x v="7"/>
    <n v="8"/>
    <n v="10"/>
    <x v="1"/>
  </r>
  <r>
    <x v="3"/>
    <x v="1"/>
    <x v="27"/>
    <x v="2"/>
    <x v="0"/>
    <n v="7.6"/>
    <x v="0"/>
    <n v="1.8"/>
    <n v="2.52"/>
    <n v="1.4"/>
    <x v="0"/>
    <x v="1"/>
    <x v="2"/>
    <n v="4"/>
    <n v="3"/>
    <x v="0"/>
  </r>
  <r>
    <x v="6"/>
    <x v="1"/>
    <x v="21"/>
    <x v="2"/>
    <x v="1"/>
    <n v="8.6999999999999993"/>
    <x v="1"/>
    <n v="1.2"/>
    <n v="3.25"/>
    <n v="1.5"/>
    <x v="0"/>
    <x v="1"/>
    <x v="8"/>
    <n v="9"/>
    <n v="1"/>
    <x v="0"/>
  </r>
  <r>
    <x v="3"/>
    <x v="1"/>
    <x v="33"/>
    <x v="2"/>
    <x v="1"/>
    <n v="5.6"/>
    <x v="0"/>
    <n v="1.5"/>
    <n v="3.13"/>
    <n v="0.1"/>
    <x v="1"/>
    <x v="0"/>
    <x v="9"/>
    <n v="9"/>
    <n v="4"/>
    <x v="1"/>
  </r>
  <r>
    <x v="6"/>
    <x v="1"/>
    <x v="35"/>
    <x v="2"/>
    <x v="2"/>
    <n v="8.6999999999999993"/>
    <x v="1"/>
    <n v="1.4"/>
    <n v="3.5"/>
    <n v="1.3"/>
    <x v="0"/>
    <x v="1"/>
    <x v="8"/>
    <n v="4"/>
    <n v="5"/>
    <x v="0"/>
  </r>
  <r>
    <x v="5"/>
    <x v="1"/>
    <x v="35"/>
    <x v="2"/>
    <x v="2"/>
    <n v="4.2"/>
    <x v="0"/>
    <n v="1.5"/>
    <n v="3.98"/>
    <n v="0.4"/>
    <x v="1"/>
    <x v="2"/>
    <x v="2"/>
    <n v="7"/>
    <n v="2"/>
    <x v="0"/>
  </r>
  <r>
    <x v="1"/>
    <x v="0"/>
    <x v="51"/>
    <x v="0"/>
    <x v="0"/>
    <n v="4.2"/>
    <x v="0"/>
    <n v="2.6"/>
    <n v="2.2000000000000002"/>
    <n v="1.8"/>
    <x v="0"/>
    <x v="0"/>
    <x v="1"/>
    <n v="9"/>
    <n v="4"/>
    <x v="1"/>
  </r>
  <r>
    <x v="4"/>
    <x v="1"/>
    <x v="23"/>
    <x v="2"/>
    <x v="2"/>
    <n v="8.6"/>
    <x v="1"/>
    <n v="2.2000000000000002"/>
    <n v="3.53"/>
    <n v="1.9"/>
    <x v="0"/>
    <x v="0"/>
    <x v="0"/>
    <n v="5"/>
    <n v="8"/>
    <x v="0"/>
  </r>
  <r>
    <x v="6"/>
    <x v="1"/>
    <x v="49"/>
    <x v="2"/>
    <x v="1"/>
    <n v="4.5"/>
    <x v="0"/>
    <n v="2.7"/>
    <n v="2.54"/>
    <n v="1.4"/>
    <x v="0"/>
    <x v="1"/>
    <x v="0"/>
    <n v="3"/>
    <n v="10"/>
    <x v="0"/>
  </r>
  <r>
    <x v="5"/>
    <x v="0"/>
    <x v="23"/>
    <x v="2"/>
    <x v="0"/>
    <n v="7.9"/>
    <x v="0"/>
    <n v="2.4"/>
    <n v="2.81"/>
    <n v="1.9"/>
    <x v="0"/>
    <x v="0"/>
    <x v="7"/>
    <n v="6"/>
    <n v="6"/>
    <x v="0"/>
  </r>
  <r>
    <x v="3"/>
    <x v="0"/>
    <x v="4"/>
    <x v="2"/>
    <x v="0"/>
    <n v="8.4"/>
    <x v="1"/>
    <n v="1.9"/>
    <n v="3.9"/>
    <n v="1"/>
    <x v="1"/>
    <x v="1"/>
    <x v="6"/>
    <n v="10"/>
    <n v="6"/>
    <x v="0"/>
  </r>
  <r>
    <x v="2"/>
    <x v="1"/>
    <x v="42"/>
    <x v="2"/>
    <x v="1"/>
    <n v="6.1"/>
    <x v="0"/>
    <n v="2.4"/>
    <n v="3.77"/>
    <n v="1.1000000000000001"/>
    <x v="0"/>
    <x v="2"/>
    <x v="8"/>
    <n v="4"/>
    <n v="9"/>
    <x v="0"/>
  </r>
  <r>
    <x v="4"/>
    <x v="0"/>
    <x v="62"/>
    <x v="2"/>
    <x v="0"/>
    <n v="4.4000000000000004"/>
    <x v="0"/>
    <n v="2.7"/>
    <n v="2.09"/>
    <n v="1.8"/>
    <x v="0"/>
    <x v="1"/>
    <x v="2"/>
    <n v="6"/>
    <n v="6"/>
    <x v="0"/>
  </r>
  <r>
    <x v="1"/>
    <x v="0"/>
    <x v="26"/>
    <x v="2"/>
    <x v="0"/>
    <n v="6.3"/>
    <x v="0"/>
    <n v="1.3"/>
    <n v="3.91"/>
    <n v="1.2"/>
    <x v="0"/>
    <x v="1"/>
    <x v="9"/>
    <n v="5"/>
    <n v="7"/>
    <x v="0"/>
  </r>
  <r>
    <x v="5"/>
    <x v="0"/>
    <x v="0"/>
    <x v="0"/>
    <x v="1"/>
    <n v="8"/>
    <x v="1"/>
    <n v="1.6"/>
    <n v="3.47"/>
    <n v="1.5"/>
    <x v="0"/>
    <x v="1"/>
    <x v="3"/>
    <n v="5"/>
    <n v="6"/>
    <x v="0"/>
  </r>
  <r>
    <x v="5"/>
    <x v="1"/>
    <x v="3"/>
    <x v="0"/>
    <x v="1"/>
    <n v="5.5"/>
    <x v="0"/>
    <n v="1.8"/>
    <n v="2.13"/>
    <n v="0.3"/>
    <x v="1"/>
    <x v="1"/>
    <x v="9"/>
    <n v="9"/>
    <n v="9"/>
    <x v="1"/>
  </r>
  <r>
    <x v="2"/>
    <x v="1"/>
    <x v="21"/>
    <x v="2"/>
    <x v="0"/>
    <n v="4.9000000000000004"/>
    <x v="0"/>
    <n v="1.7"/>
    <n v="2.0699999999999998"/>
    <n v="0.3"/>
    <x v="1"/>
    <x v="2"/>
    <x v="3"/>
    <n v="7"/>
    <n v="7"/>
    <x v="0"/>
  </r>
  <r>
    <x v="6"/>
    <x v="0"/>
    <x v="38"/>
    <x v="0"/>
    <x v="2"/>
    <n v="5.7"/>
    <x v="0"/>
    <n v="2.1"/>
    <n v="3.52"/>
    <n v="1.7"/>
    <x v="0"/>
    <x v="0"/>
    <x v="2"/>
    <n v="1"/>
    <n v="3"/>
    <x v="0"/>
  </r>
  <r>
    <x v="5"/>
    <x v="0"/>
    <x v="42"/>
    <x v="2"/>
    <x v="0"/>
    <n v="6.8"/>
    <x v="0"/>
    <n v="1.1000000000000001"/>
    <n v="3.33"/>
    <n v="1"/>
    <x v="1"/>
    <x v="2"/>
    <x v="9"/>
    <n v="9"/>
    <n v="4"/>
    <x v="0"/>
  </r>
  <r>
    <x v="5"/>
    <x v="1"/>
    <x v="46"/>
    <x v="2"/>
    <x v="1"/>
    <n v="7.9"/>
    <x v="0"/>
    <n v="2"/>
    <n v="3.91"/>
    <n v="0.6"/>
    <x v="1"/>
    <x v="2"/>
    <x v="9"/>
    <n v="3"/>
    <n v="10"/>
    <x v="0"/>
  </r>
  <r>
    <x v="5"/>
    <x v="1"/>
    <x v="33"/>
    <x v="2"/>
    <x v="1"/>
    <n v="8.1"/>
    <x v="1"/>
    <n v="2.1"/>
    <n v="2.67"/>
    <n v="1.7"/>
    <x v="0"/>
    <x v="2"/>
    <x v="8"/>
    <n v="10"/>
    <n v="10"/>
    <x v="0"/>
  </r>
  <r>
    <x v="2"/>
    <x v="0"/>
    <x v="34"/>
    <x v="2"/>
    <x v="2"/>
    <n v="4.9000000000000004"/>
    <x v="0"/>
    <n v="0.5"/>
    <n v="3.44"/>
    <n v="1.2"/>
    <x v="0"/>
    <x v="2"/>
    <x v="5"/>
    <n v="3"/>
    <n v="1"/>
    <x v="0"/>
  </r>
  <r>
    <x v="0"/>
    <x v="0"/>
    <x v="13"/>
    <x v="2"/>
    <x v="1"/>
    <n v="4"/>
    <x v="0"/>
    <n v="1.4"/>
    <n v="3.83"/>
    <n v="0.5"/>
    <x v="1"/>
    <x v="2"/>
    <x v="2"/>
    <n v="5"/>
    <n v="2"/>
    <x v="0"/>
  </r>
  <r>
    <x v="1"/>
    <x v="0"/>
    <x v="8"/>
    <x v="0"/>
    <x v="0"/>
    <n v="5"/>
    <x v="0"/>
    <n v="2.2000000000000002"/>
    <n v="2.5"/>
    <n v="0.7"/>
    <x v="1"/>
    <x v="1"/>
    <x v="4"/>
    <n v="9"/>
    <n v="2"/>
    <x v="0"/>
  </r>
  <r>
    <x v="2"/>
    <x v="0"/>
    <x v="31"/>
    <x v="2"/>
    <x v="1"/>
    <n v="8.6"/>
    <x v="1"/>
    <n v="2.2999999999999998"/>
    <n v="2.57"/>
    <n v="1.3"/>
    <x v="0"/>
    <x v="0"/>
    <x v="8"/>
    <n v="10"/>
    <n v="5"/>
    <x v="0"/>
  </r>
  <r>
    <x v="3"/>
    <x v="0"/>
    <x v="38"/>
    <x v="0"/>
    <x v="2"/>
    <n v="6.5"/>
    <x v="0"/>
    <n v="0.7"/>
    <n v="3.94"/>
    <n v="0.2"/>
    <x v="1"/>
    <x v="2"/>
    <x v="6"/>
    <n v="7"/>
    <n v="1"/>
    <x v="0"/>
  </r>
  <r>
    <x v="4"/>
    <x v="0"/>
    <x v="17"/>
    <x v="1"/>
    <x v="2"/>
    <n v="4.0999999999999996"/>
    <x v="0"/>
    <n v="1.1000000000000001"/>
    <n v="3.04"/>
    <n v="1.6"/>
    <x v="0"/>
    <x v="0"/>
    <x v="2"/>
    <n v="3"/>
    <n v="6"/>
    <x v="0"/>
  </r>
  <r>
    <x v="1"/>
    <x v="0"/>
    <x v="24"/>
    <x v="2"/>
    <x v="1"/>
    <n v="8.8000000000000007"/>
    <x v="1"/>
    <n v="0.9"/>
    <n v="3.84"/>
    <n v="0.3"/>
    <x v="1"/>
    <x v="1"/>
    <x v="7"/>
    <n v="10"/>
    <n v="6"/>
    <x v="0"/>
  </r>
  <r>
    <x v="1"/>
    <x v="1"/>
    <x v="52"/>
    <x v="2"/>
    <x v="1"/>
    <n v="6.4"/>
    <x v="0"/>
    <n v="1.1000000000000001"/>
    <n v="3.71"/>
    <n v="1.2"/>
    <x v="0"/>
    <x v="0"/>
    <x v="1"/>
    <n v="9"/>
    <n v="8"/>
    <x v="0"/>
  </r>
  <r>
    <x v="5"/>
    <x v="0"/>
    <x v="23"/>
    <x v="2"/>
    <x v="1"/>
    <n v="4.4000000000000004"/>
    <x v="0"/>
    <n v="0.7"/>
    <n v="2.68"/>
    <n v="0.8"/>
    <x v="1"/>
    <x v="2"/>
    <x v="2"/>
    <n v="4"/>
    <n v="10"/>
    <x v="0"/>
  </r>
  <r>
    <x v="6"/>
    <x v="0"/>
    <x v="5"/>
    <x v="2"/>
    <x v="0"/>
    <n v="5.3"/>
    <x v="0"/>
    <n v="0.8"/>
    <n v="3.12"/>
    <n v="0.4"/>
    <x v="1"/>
    <x v="1"/>
    <x v="3"/>
    <n v="5"/>
    <n v="3"/>
    <x v="0"/>
  </r>
  <r>
    <x v="1"/>
    <x v="0"/>
    <x v="56"/>
    <x v="2"/>
    <x v="0"/>
    <n v="8.8000000000000007"/>
    <x v="1"/>
    <n v="2.2999999999999998"/>
    <n v="2.2200000000000002"/>
    <n v="1.2"/>
    <x v="0"/>
    <x v="1"/>
    <x v="5"/>
    <n v="5"/>
    <n v="3"/>
    <x v="0"/>
  </r>
  <r>
    <x v="5"/>
    <x v="1"/>
    <x v="38"/>
    <x v="0"/>
    <x v="1"/>
    <n v="8.8000000000000007"/>
    <x v="1"/>
    <n v="1.8"/>
    <n v="3.99"/>
    <n v="0.8"/>
    <x v="1"/>
    <x v="0"/>
    <x v="4"/>
    <n v="10"/>
    <n v="8"/>
    <x v="0"/>
  </r>
  <r>
    <x v="1"/>
    <x v="1"/>
    <x v="11"/>
    <x v="2"/>
    <x v="2"/>
    <n v="4.4000000000000004"/>
    <x v="0"/>
    <n v="2.1"/>
    <n v="3.69"/>
    <n v="0.4"/>
    <x v="1"/>
    <x v="1"/>
    <x v="3"/>
    <n v="2"/>
    <n v="8"/>
    <x v="0"/>
  </r>
  <r>
    <x v="6"/>
    <x v="0"/>
    <x v="33"/>
    <x v="2"/>
    <x v="2"/>
    <n v="5.4"/>
    <x v="0"/>
    <n v="0.8"/>
    <n v="2.39"/>
    <n v="2"/>
    <x v="0"/>
    <x v="0"/>
    <x v="1"/>
    <n v="3"/>
    <n v="10"/>
    <x v="0"/>
  </r>
  <r>
    <x v="1"/>
    <x v="0"/>
    <x v="59"/>
    <x v="0"/>
    <x v="1"/>
    <n v="4.5"/>
    <x v="0"/>
    <n v="2.2999999999999998"/>
    <n v="3.26"/>
    <n v="1.7"/>
    <x v="0"/>
    <x v="1"/>
    <x v="8"/>
    <n v="10"/>
    <n v="3"/>
    <x v="1"/>
  </r>
  <r>
    <x v="1"/>
    <x v="0"/>
    <x v="11"/>
    <x v="2"/>
    <x v="1"/>
    <n v="8.4"/>
    <x v="1"/>
    <n v="2"/>
    <n v="2.6"/>
    <n v="1.5"/>
    <x v="0"/>
    <x v="0"/>
    <x v="9"/>
    <n v="2"/>
    <n v="2"/>
    <x v="0"/>
  </r>
  <r>
    <x v="5"/>
    <x v="1"/>
    <x v="55"/>
    <x v="2"/>
    <x v="1"/>
    <n v="5.3"/>
    <x v="0"/>
    <n v="1.5"/>
    <n v="2.04"/>
    <n v="1.5"/>
    <x v="0"/>
    <x v="1"/>
    <x v="5"/>
    <n v="10"/>
    <n v="5"/>
    <x v="0"/>
  </r>
  <r>
    <x v="0"/>
    <x v="0"/>
    <x v="36"/>
    <x v="2"/>
    <x v="0"/>
    <n v="7.2"/>
    <x v="0"/>
    <n v="2"/>
    <n v="3.96"/>
    <n v="1.5"/>
    <x v="0"/>
    <x v="2"/>
    <x v="8"/>
    <n v="10"/>
    <n v="4"/>
    <x v="0"/>
  </r>
  <r>
    <x v="5"/>
    <x v="0"/>
    <x v="13"/>
    <x v="2"/>
    <x v="0"/>
    <n v="6.6"/>
    <x v="0"/>
    <n v="0.7"/>
    <n v="2.25"/>
    <n v="1.9"/>
    <x v="0"/>
    <x v="0"/>
    <x v="6"/>
    <n v="1"/>
    <n v="8"/>
    <x v="0"/>
  </r>
  <r>
    <x v="6"/>
    <x v="0"/>
    <x v="6"/>
    <x v="2"/>
    <x v="2"/>
    <n v="8.3000000000000007"/>
    <x v="1"/>
    <n v="0.6"/>
    <n v="3.71"/>
    <n v="0.1"/>
    <x v="1"/>
    <x v="0"/>
    <x v="0"/>
    <n v="6"/>
    <n v="1"/>
    <x v="0"/>
  </r>
  <r>
    <x v="2"/>
    <x v="1"/>
    <x v="41"/>
    <x v="0"/>
    <x v="2"/>
    <n v="4.7"/>
    <x v="0"/>
    <n v="2.1"/>
    <n v="2.5499999999999998"/>
    <n v="0.1"/>
    <x v="1"/>
    <x v="1"/>
    <x v="3"/>
    <n v="9"/>
    <n v="1"/>
    <x v="0"/>
  </r>
  <r>
    <x v="5"/>
    <x v="1"/>
    <x v="54"/>
    <x v="2"/>
    <x v="2"/>
    <n v="8.6999999999999993"/>
    <x v="1"/>
    <n v="1.5"/>
    <n v="3.76"/>
    <n v="0.1"/>
    <x v="1"/>
    <x v="2"/>
    <x v="0"/>
    <n v="5"/>
    <n v="4"/>
    <x v="0"/>
  </r>
  <r>
    <x v="5"/>
    <x v="1"/>
    <x v="13"/>
    <x v="2"/>
    <x v="0"/>
    <n v="6.1"/>
    <x v="0"/>
    <n v="2.8"/>
    <n v="3.8"/>
    <n v="0.1"/>
    <x v="1"/>
    <x v="1"/>
    <x v="0"/>
    <n v="1"/>
    <n v="7"/>
    <x v="0"/>
  </r>
  <r>
    <x v="1"/>
    <x v="0"/>
    <x v="4"/>
    <x v="2"/>
    <x v="2"/>
    <n v="8.1999999999999993"/>
    <x v="1"/>
    <n v="1.2"/>
    <n v="2.83"/>
    <n v="1.2"/>
    <x v="0"/>
    <x v="1"/>
    <x v="5"/>
    <n v="9"/>
    <n v="9"/>
    <x v="0"/>
  </r>
  <r>
    <x v="6"/>
    <x v="0"/>
    <x v="23"/>
    <x v="2"/>
    <x v="0"/>
    <n v="6.6"/>
    <x v="0"/>
    <n v="0.9"/>
    <n v="3.34"/>
    <n v="1.5"/>
    <x v="0"/>
    <x v="1"/>
    <x v="5"/>
    <n v="9"/>
    <n v="4"/>
    <x v="0"/>
  </r>
  <r>
    <x v="6"/>
    <x v="0"/>
    <x v="53"/>
    <x v="0"/>
    <x v="1"/>
    <n v="7.2"/>
    <x v="0"/>
    <n v="1.3"/>
    <n v="3.31"/>
    <n v="0.8"/>
    <x v="1"/>
    <x v="1"/>
    <x v="8"/>
    <n v="2"/>
    <n v="4"/>
    <x v="0"/>
  </r>
  <r>
    <x v="1"/>
    <x v="0"/>
    <x v="62"/>
    <x v="2"/>
    <x v="1"/>
    <n v="7.4"/>
    <x v="0"/>
    <n v="0.7"/>
    <n v="3.27"/>
    <n v="1.7"/>
    <x v="0"/>
    <x v="1"/>
    <x v="2"/>
    <n v="9"/>
    <n v="9"/>
    <x v="0"/>
  </r>
  <r>
    <x v="1"/>
    <x v="0"/>
    <x v="51"/>
    <x v="0"/>
    <x v="1"/>
    <n v="8.4"/>
    <x v="1"/>
    <n v="2.8"/>
    <n v="3.43"/>
    <n v="0.2"/>
    <x v="1"/>
    <x v="2"/>
    <x v="9"/>
    <n v="6"/>
    <n v="6"/>
    <x v="0"/>
  </r>
  <r>
    <x v="6"/>
    <x v="0"/>
    <x v="67"/>
    <x v="2"/>
    <x v="1"/>
    <n v="5.4"/>
    <x v="0"/>
    <n v="1.2"/>
    <n v="2.33"/>
    <n v="0.8"/>
    <x v="1"/>
    <x v="2"/>
    <x v="7"/>
    <n v="3"/>
    <n v="4"/>
    <x v="0"/>
  </r>
  <r>
    <x v="4"/>
    <x v="1"/>
    <x v="51"/>
    <x v="0"/>
    <x v="1"/>
    <n v="7.6"/>
    <x v="0"/>
    <n v="2.9"/>
    <n v="3.81"/>
    <n v="0.5"/>
    <x v="1"/>
    <x v="1"/>
    <x v="7"/>
    <n v="3"/>
    <n v="6"/>
    <x v="0"/>
  </r>
  <r>
    <x v="4"/>
    <x v="0"/>
    <x v="50"/>
    <x v="2"/>
    <x v="0"/>
    <n v="6"/>
    <x v="0"/>
    <n v="1.5"/>
    <n v="3.36"/>
    <n v="1.5"/>
    <x v="0"/>
    <x v="1"/>
    <x v="8"/>
    <n v="7"/>
    <n v="10"/>
    <x v="0"/>
  </r>
  <r>
    <x v="5"/>
    <x v="0"/>
    <x v="23"/>
    <x v="2"/>
    <x v="1"/>
    <n v="7.8"/>
    <x v="0"/>
    <n v="0.5"/>
    <n v="2.81"/>
    <n v="1.4"/>
    <x v="0"/>
    <x v="1"/>
    <x v="7"/>
    <n v="2"/>
    <n v="4"/>
    <x v="0"/>
  </r>
  <r>
    <x v="3"/>
    <x v="1"/>
    <x v="10"/>
    <x v="2"/>
    <x v="2"/>
    <n v="5.2"/>
    <x v="0"/>
    <n v="1"/>
    <n v="3.94"/>
    <n v="1.4"/>
    <x v="0"/>
    <x v="0"/>
    <x v="5"/>
    <n v="2"/>
    <n v="7"/>
    <x v="0"/>
  </r>
  <r>
    <x v="1"/>
    <x v="1"/>
    <x v="22"/>
    <x v="2"/>
    <x v="0"/>
    <n v="8.6999999999999993"/>
    <x v="1"/>
    <n v="1.6"/>
    <n v="2.4"/>
    <n v="0.1"/>
    <x v="1"/>
    <x v="2"/>
    <x v="0"/>
    <n v="9"/>
    <n v="7"/>
    <x v="0"/>
  </r>
  <r>
    <x v="3"/>
    <x v="0"/>
    <x v="18"/>
    <x v="2"/>
    <x v="2"/>
    <n v="8"/>
    <x v="1"/>
    <n v="1"/>
    <n v="2.31"/>
    <n v="1"/>
    <x v="1"/>
    <x v="1"/>
    <x v="6"/>
    <n v="7"/>
    <n v="6"/>
    <x v="0"/>
  </r>
  <r>
    <x v="1"/>
    <x v="0"/>
    <x v="54"/>
    <x v="2"/>
    <x v="0"/>
    <n v="4.2"/>
    <x v="0"/>
    <n v="0.9"/>
    <n v="2.41"/>
    <n v="0.8"/>
    <x v="1"/>
    <x v="2"/>
    <x v="9"/>
    <n v="9"/>
    <n v="9"/>
    <x v="1"/>
  </r>
  <r>
    <x v="5"/>
    <x v="1"/>
    <x v="20"/>
    <x v="2"/>
    <x v="2"/>
    <n v="5.6"/>
    <x v="0"/>
    <n v="2.5"/>
    <n v="2.73"/>
    <n v="1.3"/>
    <x v="0"/>
    <x v="2"/>
    <x v="9"/>
    <n v="10"/>
    <n v="4"/>
    <x v="1"/>
  </r>
  <r>
    <x v="2"/>
    <x v="1"/>
    <x v="69"/>
    <x v="2"/>
    <x v="0"/>
    <n v="6.3"/>
    <x v="0"/>
    <n v="0.8"/>
    <n v="2.59"/>
    <n v="1.6"/>
    <x v="0"/>
    <x v="1"/>
    <x v="4"/>
    <n v="8"/>
    <n v="7"/>
    <x v="0"/>
  </r>
  <r>
    <x v="2"/>
    <x v="0"/>
    <x v="13"/>
    <x v="2"/>
    <x v="2"/>
    <n v="6.1"/>
    <x v="0"/>
    <n v="2.8"/>
    <n v="2.39"/>
    <n v="0.6"/>
    <x v="1"/>
    <x v="0"/>
    <x v="4"/>
    <n v="8"/>
    <n v="5"/>
    <x v="0"/>
  </r>
  <r>
    <x v="2"/>
    <x v="1"/>
    <x v="68"/>
    <x v="2"/>
    <x v="0"/>
    <n v="6.3"/>
    <x v="0"/>
    <n v="1.3"/>
    <n v="2.7"/>
    <n v="1.1000000000000001"/>
    <x v="0"/>
    <x v="2"/>
    <x v="0"/>
    <n v="6"/>
    <n v="9"/>
    <x v="0"/>
  </r>
  <r>
    <x v="5"/>
    <x v="1"/>
    <x v="3"/>
    <x v="0"/>
    <x v="0"/>
    <n v="7.4"/>
    <x v="0"/>
    <n v="0.9"/>
    <n v="3.7"/>
    <n v="1.3"/>
    <x v="0"/>
    <x v="2"/>
    <x v="7"/>
    <n v="6"/>
    <n v="2"/>
    <x v="0"/>
  </r>
  <r>
    <x v="6"/>
    <x v="0"/>
    <x v="20"/>
    <x v="2"/>
    <x v="0"/>
    <n v="6"/>
    <x v="0"/>
    <n v="1"/>
    <n v="2.92"/>
    <n v="0.7"/>
    <x v="1"/>
    <x v="1"/>
    <x v="3"/>
    <n v="8"/>
    <n v="5"/>
    <x v="0"/>
  </r>
  <r>
    <x v="4"/>
    <x v="1"/>
    <x v="29"/>
    <x v="2"/>
    <x v="0"/>
    <n v="5.5"/>
    <x v="0"/>
    <n v="1.8"/>
    <n v="2.9"/>
    <n v="0.6"/>
    <x v="1"/>
    <x v="0"/>
    <x v="4"/>
    <n v="2"/>
    <n v="5"/>
    <x v="0"/>
  </r>
  <r>
    <x v="6"/>
    <x v="0"/>
    <x v="18"/>
    <x v="2"/>
    <x v="1"/>
    <n v="4.5"/>
    <x v="0"/>
    <n v="0.5"/>
    <n v="3.71"/>
    <n v="1"/>
    <x v="1"/>
    <x v="2"/>
    <x v="2"/>
    <n v="10"/>
    <n v="1"/>
    <x v="0"/>
  </r>
  <r>
    <x v="2"/>
    <x v="1"/>
    <x v="59"/>
    <x v="0"/>
    <x v="1"/>
    <n v="8.9"/>
    <x v="1"/>
    <n v="0.6"/>
    <n v="3.67"/>
    <n v="0.2"/>
    <x v="1"/>
    <x v="2"/>
    <x v="8"/>
    <n v="2"/>
    <n v="4"/>
    <x v="0"/>
  </r>
  <r>
    <x v="3"/>
    <x v="0"/>
    <x v="45"/>
    <x v="2"/>
    <x v="0"/>
    <n v="7.2"/>
    <x v="0"/>
    <n v="1.2"/>
    <n v="3.32"/>
    <n v="1.3"/>
    <x v="0"/>
    <x v="1"/>
    <x v="9"/>
    <n v="8"/>
    <n v="1"/>
    <x v="0"/>
  </r>
  <r>
    <x v="2"/>
    <x v="0"/>
    <x v="20"/>
    <x v="2"/>
    <x v="0"/>
    <n v="6.4"/>
    <x v="0"/>
    <n v="2.9"/>
    <n v="2.42"/>
    <n v="1.1000000000000001"/>
    <x v="0"/>
    <x v="0"/>
    <x v="3"/>
    <n v="8"/>
    <n v="3"/>
    <x v="0"/>
  </r>
  <r>
    <x v="0"/>
    <x v="0"/>
    <x v="47"/>
    <x v="1"/>
    <x v="2"/>
    <n v="5.0999999999999996"/>
    <x v="0"/>
    <n v="2.7"/>
    <n v="3.47"/>
    <n v="0.2"/>
    <x v="1"/>
    <x v="0"/>
    <x v="1"/>
    <n v="4"/>
    <n v="6"/>
    <x v="0"/>
  </r>
  <r>
    <x v="3"/>
    <x v="0"/>
    <x v="34"/>
    <x v="2"/>
    <x v="1"/>
    <n v="6.2"/>
    <x v="0"/>
    <n v="2.8"/>
    <n v="2.74"/>
    <n v="0.1"/>
    <x v="1"/>
    <x v="1"/>
    <x v="0"/>
    <n v="3"/>
    <n v="5"/>
    <x v="0"/>
  </r>
  <r>
    <x v="2"/>
    <x v="1"/>
    <x v="45"/>
    <x v="2"/>
    <x v="1"/>
    <n v="7.1"/>
    <x v="0"/>
    <n v="2.5"/>
    <n v="2.68"/>
    <n v="1.6"/>
    <x v="0"/>
    <x v="0"/>
    <x v="3"/>
    <n v="5"/>
    <n v="7"/>
    <x v="0"/>
  </r>
  <r>
    <x v="6"/>
    <x v="0"/>
    <x v="13"/>
    <x v="2"/>
    <x v="0"/>
    <n v="8.6"/>
    <x v="1"/>
    <n v="0.7"/>
    <n v="2.42"/>
    <n v="0.2"/>
    <x v="1"/>
    <x v="2"/>
    <x v="0"/>
    <n v="6"/>
    <n v="8"/>
    <x v="0"/>
  </r>
  <r>
    <x v="0"/>
    <x v="1"/>
    <x v="12"/>
    <x v="2"/>
    <x v="0"/>
    <n v="8.9"/>
    <x v="1"/>
    <n v="0.7"/>
    <n v="2.17"/>
    <n v="1.3"/>
    <x v="0"/>
    <x v="1"/>
    <x v="7"/>
    <n v="4"/>
    <n v="3"/>
    <x v="0"/>
  </r>
  <r>
    <x v="3"/>
    <x v="1"/>
    <x v="69"/>
    <x v="2"/>
    <x v="2"/>
    <n v="7.3"/>
    <x v="0"/>
    <n v="2.5"/>
    <n v="3.67"/>
    <n v="0.5"/>
    <x v="1"/>
    <x v="0"/>
    <x v="6"/>
    <n v="3"/>
    <n v="6"/>
    <x v="0"/>
  </r>
  <r>
    <x v="0"/>
    <x v="1"/>
    <x v="20"/>
    <x v="2"/>
    <x v="2"/>
    <n v="4.7"/>
    <x v="0"/>
    <n v="1.1000000000000001"/>
    <n v="3.68"/>
    <n v="1.8"/>
    <x v="0"/>
    <x v="1"/>
    <x v="7"/>
    <n v="8"/>
    <n v="10"/>
    <x v="1"/>
  </r>
  <r>
    <x v="3"/>
    <x v="0"/>
    <x v="26"/>
    <x v="2"/>
    <x v="0"/>
    <n v="5.4"/>
    <x v="0"/>
    <n v="1.6"/>
    <n v="2.34"/>
    <n v="0.3"/>
    <x v="1"/>
    <x v="1"/>
    <x v="0"/>
    <n v="6"/>
    <n v="8"/>
    <x v="0"/>
  </r>
  <r>
    <x v="0"/>
    <x v="0"/>
    <x v="31"/>
    <x v="2"/>
    <x v="0"/>
    <n v="5.6"/>
    <x v="0"/>
    <n v="0.8"/>
    <n v="4"/>
    <n v="1.9"/>
    <x v="0"/>
    <x v="2"/>
    <x v="5"/>
    <n v="1"/>
    <n v="3"/>
    <x v="0"/>
  </r>
  <r>
    <x v="5"/>
    <x v="0"/>
    <x v="27"/>
    <x v="2"/>
    <x v="1"/>
    <n v="6.3"/>
    <x v="0"/>
    <n v="3"/>
    <n v="3.72"/>
    <n v="1.6"/>
    <x v="0"/>
    <x v="2"/>
    <x v="5"/>
    <n v="10"/>
    <n v="3"/>
    <x v="0"/>
  </r>
  <r>
    <x v="6"/>
    <x v="1"/>
    <x v="5"/>
    <x v="2"/>
    <x v="0"/>
    <n v="4.5999999999999996"/>
    <x v="0"/>
    <n v="1.6"/>
    <n v="3.22"/>
    <n v="0.9"/>
    <x v="1"/>
    <x v="2"/>
    <x v="4"/>
    <n v="4"/>
    <n v="3"/>
    <x v="0"/>
  </r>
  <r>
    <x v="4"/>
    <x v="0"/>
    <x v="67"/>
    <x v="2"/>
    <x v="2"/>
    <n v="4.5"/>
    <x v="0"/>
    <n v="2"/>
    <n v="2.4900000000000002"/>
    <n v="0.8"/>
    <x v="1"/>
    <x v="1"/>
    <x v="2"/>
    <n v="7"/>
    <n v="6"/>
    <x v="0"/>
  </r>
  <r>
    <x v="5"/>
    <x v="0"/>
    <x v="19"/>
    <x v="2"/>
    <x v="2"/>
    <n v="5.5"/>
    <x v="0"/>
    <n v="1.9"/>
    <n v="2.65"/>
    <n v="1.5"/>
    <x v="0"/>
    <x v="0"/>
    <x v="5"/>
    <n v="7"/>
    <n v="9"/>
    <x v="0"/>
  </r>
  <r>
    <x v="5"/>
    <x v="1"/>
    <x v="66"/>
    <x v="2"/>
    <x v="1"/>
    <n v="7.4"/>
    <x v="0"/>
    <n v="2"/>
    <n v="3.4"/>
    <n v="1.6"/>
    <x v="0"/>
    <x v="0"/>
    <x v="6"/>
    <n v="1"/>
    <n v="1"/>
    <x v="0"/>
  </r>
  <r>
    <x v="2"/>
    <x v="1"/>
    <x v="43"/>
    <x v="1"/>
    <x v="1"/>
    <n v="8.1999999999999993"/>
    <x v="1"/>
    <n v="2.7"/>
    <n v="2.84"/>
    <n v="0.2"/>
    <x v="1"/>
    <x v="1"/>
    <x v="0"/>
    <n v="4"/>
    <n v="1"/>
    <x v="0"/>
  </r>
  <r>
    <x v="6"/>
    <x v="0"/>
    <x v="59"/>
    <x v="0"/>
    <x v="2"/>
    <n v="5.7"/>
    <x v="0"/>
    <n v="1.6"/>
    <n v="3.45"/>
    <n v="1.2"/>
    <x v="0"/>
    <x v="2"/>
    <x v="9"/>
    <n v="1"/>
    <n v="10"/>
    <x v="0"/>
  </r>
  <r>
    <x v="4"/>
    <x v="0"/>
    <x v="44"/>
    <x v="2"/>
    <x v="1"/>
    <n v="7.9"/>
    <x v="0"/>
    <n v="2.2999999999999998"/>
    <n v="2.4300000000000002"/>
    <n v="0.1"/>
    <x v="1"/>
    <x v="1"/>
    <x v="5"/>
    <n v="1"/>
    <n v="6"/>
    <x v="0"/>
  </r>
  <r>
    <x v="6"/>
    <x v="1"/>
    <x v="44"/>
    <x v="2"/>
    <x v="1"/>
    <n v="6.1"/>
    <x v="0"/>
    <n v="1.4"/>
    <n v="2.11"/>
    <n v="0.4"/>
    <x v="1"/>
    <x v="1"/>
    <x v="9"/>
    <n v="5"/>
    <n v="10"/>
    <x v="0"/>
  </r>
  <r>
    <x v="0"/>
    <x v="0"/>
    <x v="18"/>
    <x v="2"/>
    <x v="0"/>
    <n v="4.5999999999999996"/>
    <x v="0"/>
    <n v="2"/>
    <n v="2.27"/>
    <n v="1.9"/>
    <x v="0"/>
    <x v="1"/>
    <x v="9"/>
    <n v="10"/>
    <n v="6"/>
    <x v="0"/>
  </r>
  <r>
    <x v="0"/>
    <x v="0"/>
    <x v="0"/>
    <x v="0"/>
    <x v="0"/>
    <n v="5.7"/>
    <x v="0"/>
    <n v="1.6"/>
    <n v="3.67"/>
    <n v="0.6"/>
    <x v="1"/>
    <x v="2"/>
    <x v="6"/>
    <n v="3"/>
    <n v="4"/>
    <x v="0"/>
  </r>
  <r>
    <x v="6"/>
    <x v="0"/>
    <x v="49"/>
    <x v="2"/>
    <x v="1"/>
    <n v="5.3"/>
    <x v="0"/>
    <n v="2.6"/>
    <n v="2.95"/>
    <n v="1.2"/>
    <x v="0"/>
    <x v="2"/>
    <x v="0"/>
    <n v="6"/>
    <n v="10"/>
    <x v="0"/>
  </r>
  <r>
    <x v="6"/>
    <x v="1"/>
    <x v="66"/>
    <x v="2"/>
    <x v="2"/>
    <n v="6.4"/>
    <x v="0"/>
    <n v="1.4"/>
    <n v="2.38"/>
    <n v="1.4"/>
    <x v="0"/>
    <x v="2"/>
    <x v="6"/>
    <n v="8"/>
    <n v="10"/>
    <x v="0"/>
  </r>
  <r>
    <x v="1"/>
    <x v="1"/>
    <x v="18"/>
    <x v="2"/>
    <x v="1"/>
    <n v="4.3"/>
    <x v="0"/>
    <n v="0.7"/>
    <n v="2.17"/>
    <n v="0.7"/>
    <x v="1"/>
    <x v="1"/>
    <x v="3"/>
    <n v="1"/>
    <n v="4"/>
    <x v="0"/>
  </r>
  <r>
    <x v="4"/>
    <x v="0"/>
    <x v="30"/>
    <x v="2"/>
    <x v="2"/>
    <n v="6.9"/>
    <x v="0"/>
    <n v="1"/>
    <n v="3.22"/>
    <n v="0.8"/>
    <x v="1"/>
    <x v="2"/>
    <x v="6"/>
    <n v="6"/>
    <n v="1"/>
    <x v="0"/>
  </r>
  <r>
    <x v="2"/>
    <x v="1"/>
    <x v="43"/>
    <x v="1"/>
    <x v="1"/>
    <n v="4.5999999999999996"/>
    <x v="0"/>
    <n v="2.5"/>
    <n v="3.93"/>
    <n v="0.3"/>
    <x v="1"/>
    <x v="1"/>
    <x v="7"/>
    <n v="6"/>
    <n v="2"/>
    <x v="0"/>
  </r>
  <r>
    <x v="1"/>
    <x v="0"/>
    <x v="55"/>
    <x v="2"/>
    <x v="0"/>
    <n v="7.1"/>
    <x v="0"/>
    <n v="2.5"/>
    <n v="3.81"/>
    <n v="0.9"/>
    <x v="1"/>
    <x v="0"/>
    <x v="4"/>
    <n v="9"/>
    <n v="4"/>
    <x v="0"/>
  </r>
  <r>
    <x v="6"/>
    <x v="0"/>
    <x v="56"/>
    <x v="2"/>
    <x v="0"/>
    <n v="4.0999999999999996"/>
    <x v="0"/>
    <n v="1.6"/>
    <n v="2.12"/>
    <n v="1.8"/>
    <x v="0"/>
    <x v="1"/>
    <x v="7"/>
    <n v="9"/>
    <n v="6"/>
    <x v="0"/>
  </r>
  <r>
    <x v="2"/>
    <x v="1"/>
    <x v="10"/>
    <x v="2"/>
    <x v="2"/>
    <n v="6.1"/>
    <x v="0"/>
    <n v="2.4"/>
    <n v="3.05"/>
    <n v="1.8"/>
    <x v="0"/>
    <x v="1"/>
    <x v="3"/>
    <n v="6"/>
    <n v="8"/>
    <x v="0"/>
  </r>
  <r>
    <x v="1"/>
    <x v="0"/>
    <x v="11"/>
    <x v="2"/>
    <x v="0"/>
    <n v="8.4"/>
    <x v="1"/>
    <n v="2.1"/>
    <n v="3.15"/>
    <n v="2"/>
    <x v="0"/>
    <x v="2"/>
    <x v="6"/>
    <n v="10"/>
    <n v="1"/>
    <x v="0"/>
  </r>
  <r>
    <x v="0"/>
    <x v="0"/>
    <x v="33"/>
    <x v="2"/>
    <x v="0"/>
    <n v="5.5"/>
    <x v="0"/>
    <n v="1.6"/>
    <n v="3.08"/>
    <n v="0.5"/>
    <x v="1"/>
    <x v="2"/>
    <x v="3"/>
    <n v="8"/>
    <n v="1"/>
    <x v="0"/>
  </r>
  <r>
    <x v="3"/>
    <x v="0"/>
    <x v="68"/>
    <x v="2"/>
    <x v="2"/>
    <n v="4"/>
    <x v="0"/>
    <n v="0.9"/>
    <n v="3"/>
    <n v="1.4"/>
    <x v="0"/>
    <x v="2"/>
    <x v="2"/>
    <n v="8"/>
    <n v="10"/>
    <x v="0"/>
  </r>
  <r>
    <x v="1"/>
    <x v="0"/>
    <x v="22"/>
    <x v="2"/>
    <x v="2"/>
    <n v="7.5"/>
    <x v="0"/>
    <n v="1.8"/>
    <n v="2.35"/>
    <n v="1.4"/>
    <x v="0"/>
    <x v="0"/>
    <x v="3"/>
    <n v="8"/>
    <n v="6"/>
    <x v="0"/>
  </r>
  <r>
    <x v="6"/>
    <x v="0"/>
    <x v="56"/>
    <x v="2"/>
    <x v="1"/>
    <n v="5.8"/>
    <x v="0"/>
    <n v="2.7"/>
    <n v="3.83"/>
    <n v="1.9"/>
    <x v="0"/>
    <x v="0"/>
    <x v="6"/>
    <n v="6"/>
    <n v="6"/>
    <x v="0"/>
  </r>
  <r>
    <x v="2"/>
    <x v="1"/>
    <x v="44"/>
    <x v="2"/>
    <x v="1"/>
    <n v="4.2"/>
    <x v="0"/>
    <n v="0.7"/>
    <n v="3.02"/>
    <n v="1.6"/>
    <x v="0"/>
    <x v="0"/>
    <x v="9"/>
    <n v="4"/>
    <n v="7"/>
    <x v="0"/>
  </r>
  <r>
    <x v="1"/>
    <x v="0"/>
    <x v="52"/>
    <x v="2"/>
    <x v="0"/>
    <n v="6"/>
    <x v="0"/>
    <n v="1.5"/>
    <n v="2.12"/>
    <n v="1.7"/>
    <x v="0"/>
    <x v="2"/>
    <x v="1"/>
    <n v="5"/>
    <n v="7"/>
    <x v="0"/>
  </r>
  <r>
    <x v="5"/>
    <x v="1"/>
    <x v="18"/>
    <x v="2"/>
    <x v="0"/>
    <n v="5.3"/>
    <x v="0"/>
    <n v="1.8"/>
    <n v="3.33"/>
    <n v="0.3"/>
    <x v="1"/>
    <x v="0"/>
    <x v="8"/>
    <n v="2"/>
    <n v="4"/>
    <x v="0"/>
  </r>
  <r>
    <x v="5"/>
    <x v="0"/>
    <x v="65"/>
    <x v="1"/>
    <x v="2"/>
    <n v="4.3"/>
    <x v="0"/>
    <n v="1.4"/>
    <n v="3.27"/>
    <n v="1.2"/>
    <x v="0"/>
    <x v="2"/>
    <x v="7"/>
    <n v="4"/>
    <n v="10"/>
    <x v="0"/>
  </r>
  <r>
    <x v="6"/>
    <x v="0"/>
    <x v="46"/>
    <x v="2"/>
    <x v="2"/>
    <n v="4.4000000000000004"/>
    <x v="0"/>
    <n v="2.9"/>
    <n v="3.19"/>
    <n v="0.9"/>
    <x v="1"/>
    <x v="2"/>
    <x v="4"/>
    <n v="3"/>
    <n v="4"/>
    <x v="0"/>
  </r>
  <r>
    <x v="3"/>
    <x v="1"/>
    <x v="48"/>
    <x v="0"/>
    <x v="2"/>
    <n v="5.7"/>
    <x v="0"/>
    <n v="1.3"/>
    <n v="3.54"/>
    <n v="0.1"/>
    <x v="1"/>
    <x v="1"/>
    <x v="8"/>
    <n v="7"/>
    <n v="5"/>
    <x v="1"/>
  </r>
  <r>
    <x v="3"/>
    <x v="1"/>
    <x v="12"/>
    <x v="2"/>
    <x v="0"/>
    <n v="8.4"/>
    <x v="1"/>
    <n v="1.3"/>
    <n v="2.48"/>
    <n v="0.9"/>
    <x v="1"/>
    <x v="1"/>
    <x v="5"/>
    <n v="2"/>
    <n v="4"/>
    <x v="0"/>
  </r>
  <r>
    <x v="5"/>
    <x v="1"/>
    <x v="6"/>
    <x v="2"/>
    <x v="1"/>
    <n v="5.4"/>
    <x v="0"/>
    <n v="2.7"/>
    <n v="2.88"/>
    <n v="1.2"/>
    <x v="0"/>
    <x v="2"/>
    <x v="6"/>
    <n v="10"/>
    <n v="1"/>
    <x v="0"/>
  </r>
  <r>
    <x v="6"/>
    <x v="1"/>
    <x v="35"/>
    <x v="2"/>
    <x v="0"/>
    <n v="5.3"/>
    <x v="0"/>
    <n v="1.7"/>
    <n v="2.2000000000000002"/>
    <n v="0.8"/>
    <x v="1"/>
    <x v="1"/>
    <x v="4"/>
    <n v="10"/>
    <n v="8"/>
    <x v="0"/>
  </r>
  <r>
    <x v="3"/>
    <x v="1"/>
    <x v="64"/>
    <x v="2"/>
    <x v="1"/>
    <n v="5.5"/>
    <x v="0"/>
    <n v="1.3"/>
    <n v="3.49"/>
    <n v="0.5"/>
    <x v="1"/>
    <x v="0"/>
    <x v="0"/>
    <n v="5"/>
    <n v="2"/>
    <x v="0"/>
  </r>
  <r>
    <x v="1"/>
    <x v="1"/>
    <x v="40"/>
    <x v="2"/>
    <x v="1"/>
    <n v="7.4"/>
    <x v="0"/>
    <n v="2.5"/>
    <n v="3.74"/>
    <n v="0.3"/>
    <x v="1"/>
    <x v="2"/>
    <x v="5"/>
    <n v="8"/>
    <n v="3"/>
    <x v="0"/>
  </r>
  <r>
    <x v="2"/>
    <x v="1"/>
    <x v="16"/>
    <x v="2"/>
    <x v="0"/>
    <n v="4.3"/>
    <x v="0"/>
    <n v="0.6"/>
    <n v="3.76"/>
    <n v="0"/>
    <x v="2"/>
    <x v="0"/>
    <x v="0"/>
    <n v="1"/>
    <n v="7"/>
    <x v="0"/>
  </r>
  <r>
    <x v="3"/>
    <x v="0"/>
    <x v="16"/>
    <x v="2"/>
    <x v="2"/>
    <n v="4.3"/>
    <x v="0"/>
    <n v="1.8"/>
    <n v="3.69"/>
    <n v="0.7"/>
    <x v="1"/>
    <x v="1"/>
    <x v="0"/>
    <n v="8"/>
    <n v="7"/>
    <x v="0"/>
  </r>
  <r>
    <x v="0"/>
    <x v="1"/>
    <x v="18"/>
    <x v="2"/>
    <x v="0"/>
    <n v="5.6"/>
    <x v="0"/>
    <n v="1.7"/>
    <n v="3.38"/>
    <n v="0.3"/>
    <x v="1"/>
    <x v="1"/>
    <x v="8"/>
    <n v="3"/>
    <n v="1"/>
    <x v="0"/>
  </r>
  <r>
    <x v="5"/>
    <x v="0"/>
    <x v="27"/>
    <x v="2"/>
    <x v="1"/>
    <n v="4.3"/>
    <x v="0"/>
    <n v="0.7"/>
    <n v="3.68"/>
    <n v="1.2"/>
    <x v="0"/>
    <x v="0"/>
    <x v="4"/>
    <n v="2"/>
    <n v="4"/>
    <x v="0"/>
  </r>
  <r>
    <x v="4"/>
    <x v="1"/>
    <x v="55"/>
    <x v="2"/>
    <x v="0"/>
    <n v="5.9"/>
    <x v="0"/>
    <n v="1"/>
    <n v="2.2200000000000002"/>
    <n v="0.6"/>
    <x v="1"/>
    <x v="0"/>
    <x v="8"/>
    <n v="10"/>
    <n v="9"/>
    <x v="0"/>
  </r>
  <r>
    <x v="3"/>
    <x v="1"/>
    <x v="32"/>
    <x v="0"/>
    <x v="1"/>
    <n v="7.3"/>
    <x v="0"/>
    <n v="2.8"/>
    <n v="2.46"/>
    <n v="0.3"/>
    <x v="1"/>
    <x v="0"/>
    <x v="0"/>
    <n v="7"/>
    <n v="5"/>
    <x v="0"/>
  </r>
  <r>
    <x v="4"/>
    <x v="1"/>
    <x v="8"/>
    <x v="0"/>
    <x v="1"/>
    <n v="5"/>
    <x v="0"/>
    <n v="1.4"/>
    <n v="3.65"/>
    <n v="1.1000000000000001"/>
    <x v="0"/>
    <x v="0"/>
    <x v="1"/>
    <n v="8"/>
    <n v="4"/>
    <x v="1"/>
  </r>
  <r>
    <x v="3"/>
    <x v="1"/>
    <x v="15"/>
    <x v="2"/>
    <x v="2"/>
    <n v="4.2"/>
    <x v="0"/>
    <n v="2.1"/>
    <n v="3.21"/>
    <n v="1.1000000000000001"/>
    <x v="0"/>
    <x v="2"/>
    <x v="1"/>
    <n v="2"/>
    <n v="10"/>
    <x v="0"/>
  </r>
  <r>
    <x v="3"/>
    <x v="1"/>
    <x v="48"/>
    <x v="0"/>
    <x v="0"/>
    <n v="4.4000000000000004"/>
    <x v="0"/>
    <n v="0.7"/>
    <n v="2.62"/>
    <n v="1.6"/>
    <x v="0"/>
    <x v="1"/>
    <x v="4"/>
    <n v="7"/>
    <n v="2"/>
    <x v="0"/>
  </r>
  <r>
    <x v="3"/>
    <x v="0"/>
    <x v="39"/>
    <x v="2"/>
    <x v="0"/>
    <n v="7.5"/>
    <x v="0"/>
    <n v="1.1000000000000001"/>
    <n v="2.06"/>
    <n v="1.8"/>
    <x v="0"/>
    <x v="2"/>
    <x v="5"/>
    <n v="7"/>
    <n v="2"/>
    <x v="0"/>
  </r>
  <r>
    <x v="0"/>
    <x v="1"/>
    <x v="6"/>
    <x v="2"/>
    <x v="1"/>
    <n v="5.0999999999999996"/>
    <x v="0"/>
    <n v="1.1000000000000001"/>
    <n v="3.98"/>
    <n v="1.3"/>
    <x v="0"/>
    <x v="2"/>
    <x v="5"/>
    <n v="4"/>
    <n v="9"/>
    <x v="0"/>
  </r>
  <r>
    <x v="3"/>
    <x v="0"/>
    <x v="42"/>
    <x v="2"/>
    <x v="1"/>
    <n v="5.6"/>
    <x v="0"/>
    <n v="1.4"/>
    <n v="2.09"/>
    <n v="0.7"/>
    <x v="1"/>
    <x v="0"/>
    <x v="8"/>
    <n v="5"/>
    <n v="9"/>
    <x v="0"/>
  </r>
  <r>
    <x v="6"/>
    <x v="0"/>
    <x v="59"/>
    <x v="0"/>
    <x v="1"/>
    <n v="4.4000000000000004"/>
    <x v="0"/>
    <n v="0.9"/>
    <n v="3.67"/>
    <n v="0.4"/>
    <x v="1"/>
    <x v="0"/>
    <x v="5"/>
    <n v="3"/>
    <n v="6"/>
    <x v="0"/>
  </r>
  <r>
    <x v="6"/>
    <x v="0"/>
    <x v="10"/>
    <x v="2"/>
    <x v="0"/>
    <n v="8.6"/>
    <x v="1"/>
    <n v="1.8"/>
    <n v="2.19"/>
    <n v="0.7"/>
    <x v="1"/>
    <x v="1"/>
    <x v="1"/>
    <n v="4"/>
    <n v="7"/>
    <x v="0"/>
  </r>
  <r>
    <x v="3"/>
    <x v="0"/>
    <x v="51"/>
    <x v="0"/>
    <x v="0"/>
    <n v="8"/>
    <x v="1"/>
    <n v="1.3"/>
    <n v="3.78"/>
    <n v="1.1000000000000001"/>
    <x v="0"/>
    <x v="2"/>
    <x v="2"/>
    <n v="6"/>
    <n v="5"/>
    <x v="0"/>
  </r>
  <r>
    <x v="1"/>
    <x v="1"/>
    <x v="49"/>
    <x v="2"/>
    <x v="2"/>
    <n v="6.3"/>
    <x v="0"/>
    <n v="2.2999999999999998"/>
    <n v="2.5499999999999998"/>
    <n v="2"/>
    <x v="0"/>
    <x v="2"/>
    <x v="4"/>
    <n v="9"/>
    <n v="7"/>
    <x v="0"/>
  </r>
  <r>
    <x v="3"/>
    <x v="0"/>
    <x v="70"/>
    <x v="1"/>
    <x v="1"/>
    <n v="8.5"/>
    <x v="1"/>
    <n v="2"/>
    <n v="3.77"/>
    <n v="1.9"/>
    <x v="0"/>
    <x v="1"/>
    <x v="6"/>
    <n v="1"/>
    <n v="7"/>
    <x v="0"/>
  </r>
  <r>
    <x v="3"/>
    <x v="1"/>
    <x v="43"/>
    <x v="1"/>
    <x v="0"/>
    <n v="4.5999999999999996"/>
    <x v="0"/>
    <n v="1.8"/>
    <n v="2.35"/>
    <n v="1.1000000000000001"/>
    <x v="0"/>
    <x v="2"/>
    <x v="7"/>
    <n v="6"/>
    <n v="6"/>
    <x v="0"/>
  </r>
  <r>
    <x v="6"/>
    <x v="1"/>
    <x v="59"/>
    <x v="0"/>
    <x v="0"/>
    <n v="4.9000000000000004"/>
    <x v="0"/>
    <n v="1.2"/>
    <n v="3.61"/>
    <n v="0.2"/>
    <x v="1"/>
    <x v="2"/>
    <x v="0"/>
    <n v="3"/>
    <n v="5"/>
    <x v="0"/>
  </r>
  <r>
    <x v="3"/>
    <x v="1"/>
    <x v="26"/>
    <x v="2"/>
    <x v="2"/>
    <n v="7.8"/>
    <x v="0"/>
    <n v="1.8"/>
    <n v="3.9"/>
    <n v="1.4"/>
    <x v="0"/>
    <x v="0"/>
    <x v="5"/>
    <n v="8"/>
    <n v="9"/>
    <x v="0"/>
  </r>
  <r>
    <x v="4"/>
    <x v="0"/>
    <x v="5"/>
    <x v="2"/>
    <x v="0"/>
    <n v="4.2"/>
    <x v="0"/>
    <n v="1.4"/>
    <n v="3.9"/>
    <n v="0.7"/>
    <x v="1"/>
    <x v="1"/>
    <x v="5"/>
    <n v="2"/>
    <n v="3"/>
    <x v="0"/>
  </r>
  <r>
    <x v="4"/>
    <x v="1"/>
    <x v="21"/>
    <x v="2"/>
    <x v="1"/>
    <n v="4.3"/>
    <x v="0"/>
    <n v="0.9"/>
    <n v="3.27"/>
    <n v="0.1"/>
    <x v="1"/>
    <x v="1"/>
    <x v="5"/>
    <n v="9"/>
    <n v="10"/>
    <x v="0"/>
  </r>
  <r>
    <x v="2"/>
    <x v="1"/>
    <x v="26"/>
    <x v="2"/>
    <x v="1"/>
    <n v="6.6"/>
    <x v="0"/>
    <n v="1.6"/>
    <n v="3.36"/>
    <n v="1.6"/>
    <x v="0"/>
    <x v="1"/>
    <x v="3"/>
    <n v="1"/>
    <n v="2"/>
    <x v="0"/>
  </r>
  <r>
    <x v="0"/>
    <x v="0"/>
    <x v="50"/>
    <x v="2"/>
    <x v="0"/>
    <n v="5.4"/>
    <x v="0"/>
    <n v="2.6"/>
    <n v="3.18"/>
    <n v="0.9"/>
    <x v="1"/>
    <x v="0"/>
    <x v="8"/>
    <n v="1"/>
    <n v="7"/>
    <x v="0"/>
  </r>
  <r>
    <x v="4"/>
    <x v="1"/>
    <x v="55"/>
    <x v="2"/>
    <x v="2"/>
    <n v="5.3"/>
    <x v="0"/>
    <n v="2.2999999999999998"/>
    <n v="3.42"/>
    <n v="0.4"/>
    <x v="1"/>
    <x v="0"/>
    <x v="6"/>
    <n v="8"/>
    <n v="2"/>
    <x v="0"/>
  </r>
  <r>
    <x v="0"/>
    <x v="1"/>
    <x v="19"/>
    <x v="2"/>
    <x v="1"/>
    <n v="5.4"/>
    <x v="0"/>
    <n v="2.4"/>
    <n v="2.71"/>
    <n v="1.3"/>
    <x v="0"/>
    <x v="0"/>
    <x v="8"/>
    <n v="5"/>
    <n v="10"/>
    <x v="0"/>
  </r>
  <r>
    <x v="6"/>
    <x v="1"/>
    <x v="21"/>
    <x v="2"/>
    <x v="1"/>
    <n v="6.6"/>
    <x v="0"/>
    <n v="1.4"/>
    <n v="3.74"/>
    <n v="1.5"/>
    <x v="0"/>
    <x v="2"/>
    <x v="4"/>
    <n v="10"/>
    <n v="1"/>
    <x v="0"/>
  </r>
  <r>
    <x v="3"/>
    <x v="0"/>
    <x v="48"/>
    <x v="0"/>
    <x v="0"/>
    <n v="4.7"/>
    <x v="0"/>
    <n v="0.6"/>
    <n v="3.01"/>
    <n v="1.8"/>
    <x v="0"/>
    <x v="2"/>
    <x v="0"/>
    <n v="9"/>
    <n v="10"/>
    <x v="0"/>
  </r>
  <r>
    <x v="3"/>
    <x v="1"/>
    <x v="36"/>
    <x v="2"/>
    <x v="1"/>
    <n v="6.4"/>
    <x v="0"/>
    <n v="0.7"/>
    <n v="3.41"/>
    <n v="1.6"/>
    <x v="0"/>
    <x v="0"/>
    <x v="3"/>
    <n v="10"/>
    <n v="7"/>
    <x v="0"/>
  </r>
  <r>
    <x v="1"/>
    <x v="1"/>
    <x v="57"/>
    <x v="2"/>
    <x v="2"/>
    <n v="5"/>
    <x v="0"/>
    <n v="2.8"/>
    <n v="2.69"/>
    <n v="0.4"/>
    <x v="1"/>
    <x v="1"/>
    <x v="3"/>
    <n v="8"/>
    <n v="8"/>
    <x v="0"/>
  </r>
  <r>
    <x v="4"/>
    <x v="1"/>
    <x v="15"/>
    <x v="2"/>
    <x v="2"/>
    <n v="6.8"/>
    <x v="0"/>
    <n v="2"/>
    <n v="3.77"/>
    <n v="1.4"/>
    <x v="0"/>
    <x v="0"/>
    <x v="2"/>
    <n v="3"/>
    <n v="4"/>
    <x v="0"/>
  </r>
  <r>
    <x v="4"/>
    <x v="0"/>
    <x v="0"/>
    <x v="0"/>
    <x v="1"/>
    <n v="7.5"/>
    <x v="0"/>
    <n v="2"/>
    <n v="2.77"/>
    <n v="0.9"/>
    <x v="1"/>
    <x v="0"/>
    <x v="7"/>
    <n v="4"/>
    <n v="4"/>
    <x v="0"/>
  </r>
  <r>
    <x v="0"/>
    <x v="1"/>
    <x v="17"/>
    <x v="1"/>
    <x v="2"/>
    <n v="7"/>
    <x v="0"/>
    <n v="2.2000000000000002"/>
    <n v="3.83"/>
    <n v="0.8"/>
    <x v="1"/>
    <x v="0"/>
    <x v="4"/>
    <n v="10"/>
    <n v="5"/>
    <x v="0"/>
  </r>
  <r>
    <x v="1"/>
    <x v="1"/>
    <x v="6"/>
    <x v="2"/>
    <x v="2"/>
    <n v="7.4"/>
    <x v="0"/>
    <n v="2.7"/>
    <n v="3.41"/>
    <n v="1.4"/>
    <x v="0"/>
    <x v="2"/>
    <x v="8"/>
    <n v="4"/>
    <n v="7"/>
    <x v="0"/>
  </r>
  <r>
    <x v="4"/>
    <x v="0"/>
    <x v="70"/>
    <x v="1"/>
    <x v="0"/>
    <n v="7.1"/>
    <x v="0"/>
    <n v="0.8"/>
    <n v="2.4700000000000002"/>
    <n v="1.9"/>
    <x v="0"/>
    <x v="1"/>
    <x v="6"/>
    <n v="2"/>
    <n v="4"/>
    <x v="0"/>
  </r>
  <r>
    <x v="1"/>
    <x v="1"/>
    <x v="0"/>
    <x v="0"/>
    <x v="0"/>
    <n v="5.7"/>
    <x v="0"/>
    <n v="2.4"/>
    <n v="3.59"/>
    <n v="1.9"/>
    <x v="0"/>
    <x v="1"/>
    <x v="2"/>
    <n v="9"/>
    <n v="9"/>
    <x v="0"/>
  </r>
  <r>
    <x v="0"/>
    <x v="0"/>
    <x v="10"/>
    <x v="2"/>
    <x v="1"/>
    <n v="4.4000000000000004"/>
    <x v="0"/>
    <n v="0.7"/>
    <n v="3.45"/>
    <n v="0.5"/>
    <x v="1"/>
    <x v="2"/>
    <x v="8"/>
    <n v="10"/>
    <n v="3"/>
    <x v="1"/>
  </r>
  <r>
    <x v="5"/>
    <x v="1"/>
    <x v="5"/>
    <x v="2"/>
    <x v="0"/>
    <n v="5.4"/>
    <x v="0"/>
    <n v="2.2999999999999998"/>
    <n v="3.43"/>
    <n v="0.5"/>
    <x v="1"/>
    <x v="1"/>
    <x v="8"/>
    <n v="1"/>
    <n v="2"/>
    <x v="0"/>
  </r>
  <r>
    <x v="5"/>
    <x v="0"/>
    <x v="4"/>
    <x v="2"/>
    <x v="2"/>
    <n v="8.1999999999999993"/>
    <x v="1"/>
    <n v="2.6"/>
    <n v="3.05"/>
    <n v="1"/>
    <x v="1"/>
    <x v="2"/>
    <x v="6"/>
    <n v="7"/>
    <n v="2"/>
    <x v="0"/>
  </r>
  <r>
    <x v="5"/>
    <x v="0"/>
    <x v="30"/>
    <x v="2"/>
    <x v="0"/>
    <n v="6.5"/>
    <x v="0"/>
    <n v="1"/>
    <n v="2.52"/>
    <n v="0.4"/>
    <x v="1"/>
    <x v="0"/>
    <x v="2"/>
    <n v="10"/>
    <n v="6"/>
    <x v="0"/>
  </r>
  <r>
    <x v="2"/>
    <x v="1"/>
    <x v="41"/>
    <x v="0"/>
    <x v="1"/>
    <n v="5.4"/>
    <x v="0"/>
    <n v="2.2999999999999998"/>
    <n v="3.44"/>
    <n v="0.4"/>
    <x v="1"/>
    <x v="2"/>
    <x v="9"/>
    <n v="9"/>
    <n v="7"/>
    <x v="1"/>
  </r>
  <r>
    <x v="4"/>
    <x v="0"/>
    <x v="23"/>
    <x v="2"/>
    <x v="1"/>
    <n v="8.4"/>
    <x v="1"/>
    <n v="1.5"/>
    <n v="2.83"/>
    <n v="1.2"/>
    <x v="0"/>
    <x v="0"/>
    <x v="8"/>
    <n v="4"/>
    <n v="5"/>
    <x v="0"/>
  </r>
  <r>
    <x v="6"/>
    <x v="1"/>
    <x v="30"/>
    <x v="2"/>
    <x v="0"/>
    <n v="8.4"/>
    <x v="1"/>
    <n v="1.6"/>
    <n v="2.0299999999999998"/>
    <n v="1.5"/>
    <x v="0"/>
    <x v="2"/>
    <x v="5"/>
    <n v="3"/>
    <n v="9"/>
    <x v="0"/>
  </r>
  <r>
    <x v="5"/>
    <x v="0"/>
    <x v="24"/>
    <x v="2"/>
    <x v="2"/>
    <n v="8.9"/>
    <x v="1"/>
    <n v="2"/>
    <n v="3.44"/>
    <n v="1.7"/>
    <x v="0"/>
    <x v="0"/>
    <x v="7"/>
    <n v="9"/>
    <n v="3"/>
    <x v="0"/>
  </r>
  <r>
    <x v="1"/>
    <x v="1"/>
    <x v="13"/>
    <x v="2"/>
    <x v="2"/>
    <n v="5.6"/>
    <x v="0"/>
    <n v="1.7"/>
    <n v="3.57"/>
    <n v="1.5"/>
    <x v="0"/>
    <x v="0"/>
    <x v="7"/>
    <n v="4"/>
    <n v="3"/>
    <x v="0"/>
  </r>
  <r>
    <x v="5"/>
    <x v="1"/>
    <x v="50"/>
    <x v="2"/>
    <x v="2"/>
    <n v="4.5999999999999996"/>
    <x v="0"/>
    <n v="2.5"/>
    <n v="2.62"/>
    <n v="1.8"/>
    <x v="0"/>
    <x v="0"/>
    <x v="8"/>
    <n v="5"/>
    <n v="1"/>
    <x v="0"/>
  </r>
  <r>
    <x v="6"/>
    <x v="1"/>
    <x v="15"/>
    <x v="2"/>
    <x v="0"/>
    <n v="6.4"/>
    <x v="0"/>
    <n v="1.6"/>
    <n v="3.69"/>
    <n v="0.9"/>
    <x v="1"/>
    <x v="2"/>
    <x v="2"/>
    <n v="2"/>
    <n v="1"/>
    <x v="0"/>
  </r>
  <r>
    <x v="4"/>
    <x v="0"/>
    <x v="16"/>
    <x v="2"/>
    <x v="0"/>
    <n v="8.8000000000000007"/>
    <x v="1"/>
    <n v="1.9"/>
    <n v="2.5499999999999998"/>
    <n v="1"/>
    <x v="1"/>
    <x v="0"/>
    <x v="5"/>
    <n v="8"/>
    <n v="3"/>
    <x v="0"/>
  </r>
  <r>
    <x v="2"/>
    <x v="0"/>
    <x v="24"/>
    <x v="2"/>
    <x v="1"/>
    <n v="8.1999999999999993"/>
    <x v="1"/>
    <n v="0.7"/>
    <n v="2.88"/>
    <n v="0.8"/>
    <x v="1"/>
    <x v="0"/>
    <x v="2"/>
    <n v="7"/>
    <n v="7"/>
    <x v="0"/>
  </r>
  <r>
    <x v="0"/>
    <x v="1"/>
    <x v="59"/>
    <x v="0"/>
    <x v="0"/>
    <n v="4.5"/>
    <x v="0"/>
    <n v="1.6"/>
    <n v="2.83"/>
    <n v="0.4"/>
    <x v="1"/>
    <x v="2"/>
    <x v="1"/>
    <n v="1"/>
    <n v="7"/>
    <x v="0"/>
  </r>
  <r>
    <x v="5"/>
    <x v="1"/>
    <x v="29"/>
    <x v="2"/>
    <x v="2"/>
    <n v="5.0999999999999996"/>
    <x v="0"/>
    <n v="2.1"/>
    <n v="2.4900000000000002"/>
    <n v="1.6"/>
    <x v="0"/>
    <x v="0"/>
    <x v="6"/>
    <n v="9"/>
    <n v="1"/>
    <x v="0"/>
  </r>
  <r>
    <x v="6"/>
    <x v="1"/>
    <x v="37"/>
    <x v="2"/>
    <x v="0"/>
    <n v="6.3"/>
    <x v="0"/>
    <n v="1.1000000000000001"/>
    <n v="3.09"/>
    <n v="0.9"/>
    <x v="1"/>
    <x v="2"/>
    <x v="1"/>
    <n v="4"/>
    <n v="9"/>
    <x v="0"/>
  </r>
  <r>
    <x v="1"/>
    <x v="1"/>
    <x v="54"/>
    <x v="2"/>
    <x v="2"/>
    <n v="6.3"/>
    <x v="0"/>
    <n v="2.8"/>
    <n v="3.98"/>
    <n v="2"/>
    <x v="0"/>
    <x v="2"/>
    <x v="0"/>
    <n v="6"/>
    <n v="2"/>
    <x v="0"/>
  </r>
  <r>
    <x v="3"/>
    <x v="0"/>
    <x v="6"/>
    <x v="2"/>
    <x v="2"/>
    <n v="5.2"/>
    <x v="0"/>
    <n v="1.8"/>
    <n v="3.3"/>
    <n v="0.7"/>
    <x v="1"/>
    <x v="2"/>
    <x v="7"/>
    <n v="5"/>
    <n v="1"/>
    <x v="0"/>
  </r>
  <r>
    <x v="0"/>
    <x v="1"/>
    <x v="37"/>
    <x v="2"/>
    <x v="2"/>
    <n v="4.8"/>
    <x v="0"/>
    <n v="2.6"/>
    <n v="2.08"/>
    <n v="0.8"/>
    <x v="1"/>
    <x v="2"/>
    <x v="4"/>
    <n v="4"/>
    <n v="9"/>
    <x v="0"/>
  </r>
  <r>
    <x v="1"/>
    <x v="0"/>
    <x v="33"/>
    <x v="2"/>
    <x v="0"/>
    <n v="7.6"/>
    <x v="0"/>
    <n v="1.3"/>
    <n v="3.89"/>
    <n v="1.5"/>
    <x v="0"/>
    <x v="1"/>
    <x v="6"/>
    <n v="5"/>
    <n v="8"/>
    <x v="0"/>
  </r>
  <r>
    <x v="2"/>
    <x v="0"/>
    <x v="36"/>
    <x v="2"/>
    <x v="2"/>
    <n v="6.7"/>
    <x v="0"/>
    <n v="1.5"/>
    <n v="3.62"/>
    <n v="0.8"/>
    <x v="1"/>
    <x v="2"/>
    <x v="7"/>
    <n v="6"/>
    <n v="4"/>
    <x v="0"/>
  </r>
  <r>
    <x v="4"/>
    <x v="1"/>
    <x v="41"/>
    <x v="0"/>
    <x v="1"/>
    <n v="7.5"/>
    <x v="0"/>
    <n v="1.4"/>
    <n v="3.14"/>
    <n v="2"/>
    <x v="0"/>
    <x v="0"/>
    <x v="0"/>
    <n v="9"/>
    <n v="2"/>
    <x v="0"/>
  </r>
  <r>
    <x v="6"/>
    <x v="1"/>
    <x v="37"/>
    <x v="2"/>
    <x v="0"/>
    <n v="6.1"/>
    <x v="0"/>
    <n v="1.2"/>
    <n v="3.81"/>
    <n v="1.8"/>
    <x v="0"/>
    <x v="2"/>
    <x v="4"/>
    <n v="10"/>
    <n v="6"/>
    <x v="0"/>
  </r>
  <r>
    <x v="0"/>
    <x v="0"/>
    <x v="60"/>
    <x v="0"/>
    <x v="0"/>
    <n v="5.8"/>
    <x v="0"/>
    <n v="1.9"/>
    <n v="3.49"/>
    <n v="1.7"/>
    <x v="0"/>
    <x v="1"/>
    <x v="7"/>
    <n v="1"/>
    <n v="3"/>
    <x v="0"/>
  </r>
  <r>
    <x v="3"/>
    <x v="1"/>
    <x v="2"/>
    <x v="1"/>
    <x v="1"/>
    <n v="7.6"/>
    <x v="0"/>
    <n v="0.6"/>
    <n v="3.46"/>
    <n v="1.9"/>
    <x v="0"/>
    <x v="0"/>
    <x v="2"/>
    <n v="1"/>
    <n v="4"/>
    <x v="0"/>
  </r>
  <r>
    <x v="3"/>
    <x v="0"/>
    <x v="68"/>
    <x v="2"/>
    <x v="2"/>
    <n v="5.7"/>
    <x v="0"/>
    <n v="1.3"/>
    <n v="3.24"/>
    <n v="0.2"/>
    <x v="1"/>
    <x v="0"/>
    <x v="6"/>
    <n v="9"/>
    <n v="10"/>
    <x v="0"/>
  </r>
  <r>
    <x v="4"/>
    <x v="0"/>
    <x v="13"/>
    <x v="2"/>
    <x v="0"/>
    <n v="4.7"/>
    <x v="0"/>
    <n v="2.5"/>
    <n v="2.73"/>
    <n v="1.2"/>
    <x v="0"/>
    <x v="2"/>
    <x v="8"/>
    <n v="7"/>
    <n v="6"/>
    <x v="0"/>
  </r>
  <r>
    <x v="3"/>
    <x v="0"/>
    <x v="31"/>
    <x v="2"/>
    <x v="1"/>
    <n v="6.9"/>
    <x v="0"/>
    <n v="2.9"/>
    <n v="2.48"/>
    <n v="0.9"/>
    <x v="1"/>
    <x v="0"/>
    <x v="1"/>
    <n v="4"/>
    <n v="8"/>
    <x v="0"/>
  </r>
  <r>
    <x v="6"/>
    <x v="0"/>
    <x v="54"/>
    <x v="2"/>
    <x v="1"/>
    <n v="4.8"/>
    <x v="0"/>
    <n v="2.6"/>
    <n v="2.74"/>
    <n v="1.6"/>
    <x v="0"/>
    <x v="1"/>
    <x v="4"/>
    <n v="10"/>
    <n v="8"/>
    <x v="0"/>
  </r>
  <r>
    <x v="0"/>
    <x v="1"/>
    <x v="2"/>
    <x v="1"/>
    <x v="1"/>
    <n v="7.7"/>
    <x v="0"/>
    <n v="1.9"/>
    <n v="2.27"/>
    <n v="1.5"/>
    <x v="0"/>
    <x v="0"/>
    <x v="9"/>
    <n v="2"/>
    <n v="2"/>
    <x v="0"/>
  </r>
  <r>
    <x v="4"/>
    <x v="0"/>
    <x v="68"/>
    <x v="2"/>
    <x v="0"/>
    <n v="7"/>
    <x v="0"/>
    <n v="1.4"/>
    <n v="2.0499999999999998"/>
    <n v="0.4"/>
    <x v="1"/>
    <x v="2"/>
    <x v="7"/>
    <n v="9"/>
    <n v="5"/>
    <x v="0"/>
  </r>
  <r>
    <x v="4"/>
    <x v="1"/>
    <x v="48"/>
    <x v="0"/>
    <x v="1"/>
    <n v="4.3"/>
    <x v="0"/>
    <n v="0.8"/>
    <n v="3.44"/>
    <n v="0.8"/>
    <x v="1"/>
    <x v="2"/>
    <x v="3"/>
    <n v="4"/>
    <n v="4"/>
    <x v="0"/>
  </r>
  <r>
    <x v="1"/>
    <x v="1"/>
    <x v="19"/>
    <x v="2"/>
    <x v="2"/>
    <n v="7.5"/>
    <x v="0"/>
    <n v="2.7"/>
    <n v="2.66"/>
    <n v="1.6"/>
    <x v="0"/>
    <x v="1"/>
    <x v="5"/>
    <n v="10"/>
    <n v="5"/>
    <x v="0"/>
  </r>
  <r>
    <x v="6"/>
    <x v="0"/>
    <x v="40"/>
    <x v="2"/>
    <x v="2"/>
    <n v="8.6999999999999993"/>
    <x v="1"/>
    <n v="1.5"/>
    <n v="2.71"/>
    <n v="0.7"/>
    <x v="1"/>
    <x v="0"/>
    <x v="9"/>
    <n v="1"/>
    <n v="4"/>
    <x v="0"/>
  </r>
  <r>
    <x v="3"/>
    <x v="1"/>
    <x v="31"/>
    <x v="2"/>
    <x v="0"/>
    <n v="5.9"/>
    <x v="0"/>
    <n v="1.6"/>
    <n v="3.97"/>
    <n v="1"/>
    <x v="1"/>
    <x v="1"/>
    <x v="7"/>
    <n v="2"/>
    <n v="6"/>
    <x v="0"/>
  </r>
  <r>
    <x v="1"/>
    <x v="1"/>
    <x v="2"/>
    <x v="1"/>
    <x v="1"/>
    <n v="6.5"/>
    <x v="0"/>
    <n v="2.1"/>
    <n v="3.68"/>
    <n v="1.1000000000000001"/>
    <x v="0"/>
    <x v="1"/>
    <x v="9"/>
    <n v="1"/>
    <n v="9"/>
    <x v="0"/>
  </r>
  <r>
    <x v="4"/>
    <x v="1"/>
    <x v="27"/>
    <x v="2"/>
    <x v="0"/>
    <n v="6.6"/>
    <x v="0"/>
    <n v="1.8"/>
    <n v="3.87"/>
    <n v="1.2"/>
    <x v="0"/>
    <x v="1"/>
    <x v="3"/>
    <n v="4"/>
    <n v="2"/>
    <x v="0"/>
  </r>
  <r>
    <x v="4"/>
    <x v="0"/>
    <x v="69"/>
    <x v="2"/>
    <x v="2"/>
    <n v="5.2"/>
    <x v="0"/>
    <n v="1.4"/>
    <n v="3.24"/>
    <n v="0.9"/>
    <x v="1"/>
    <x v="2"/>
    <x v="7"/>
    <n v="5"/>
    <n v="7"/>
    <x v="0"/>
  </r>
  <r>
    <x v="6"/>
    <x v="1"/>
    <x v="60"/>
    <x v="0"/>
    <x v="0"/>
    <n v="7.9"/>
    <x v="0"/>
    <n v="3"/>
    <n v="2.54"/>
    <n v="1.2"/>
    <x v="0"/>
    <x v="1"/>
    <x v="1"/>
    <n v="8"/>
    <n v="1"/>
    <x v="0"/>
  </r>
  <r>
    <x v="1"/>
    <x v="1"/>
    <x v="30"/>
    <x v="2"/>
    <x v="2"/>
    <n v="5.7"/>
    <x v="0"/>
    <n v="2.2999999999999998"/>
    <n v="2.16"/>
    <n v="1.9"/>
    <x v="0"/>
    <x v="1"/>
    <x v="4"/>
    <n v="3"/>
    <n v="6"/>
    <x v="0"/>
  </r>
  <r>
    <x v="4"/>
    <x v="1"/>
    <x v="23"/>
    <x v="2"/>
    <x v="0"/>
    <n v="5.9"/>
    <x v="0"/>
    <n v="2.9"/>
    <n v="3.52"/>
    <n v="1.1000000000000001"/>
    <x v="0"/>
    <x v="1"/>
    <x v="1"/>
    <n v="6"/>
    <n v="10"/>
    <x v="0"/>
  </r>
  <r>
    <x v="3"/>
    <x v="0"/>
    <x v="6"/>
    <x v="2"/>
    <x v="1"/>
    <n v="4.5"/>
    <x v="0"/>
    <n v="1.9"/>
    <n v="3.22"/>
    <n v="0.2"/>
    <x v="1"/>
    <x v="2"/>
    <x v="6"/>
    <n v="5"/>
    <n v="3"/>
    <x v="0"/>
  </r>
  <r>
    <x v="0"/>
    <x v="0"/>
    <x v="9"/>
    <x v="2"/>
    <x v="0"/>
    <n v="5.5"/>
    <x v="0"/>
    <n v="1.6"/>
    <n v="2.85"/>
    <n v="0.4"/>
    <x v="1"/>
    <x v="0"/>
    <x v="1"/>
    <n v="1"/>
    <n v="8"/>
    <x v="0"/>
  </r>
  <r>
    <x v="0"/>
    <x v="1"/>
    <x v="42"/>
    <x v="2"/>
    <x v="1"/>
    <n v="8"/>
    <x v="1"/>
    <n v="1.6"/>
    <n v="2.64"/>
    <n v="0.1"/>
    <x v="1"/>
    <x v="2"/>
    <x v="3"/>
    <n v="3"/>
    <n v="3"/>
    <x v="0"/>
  </r>
  <r>
    <x v="3"/>
    <x v="0"/>
    <x v="45"/>
    <x v="2"/>
    <x v="1"/>
    <n v="4.2"/>
    <x v="0"/>
    <n v="1.8"/>
    <n v="2.15"/>
    <n v="0.3"/>
    <x v="1"/>
    <x v="2"/>
    <x v="2"/>
    <n v="10"/>
    <n v="5"/>
    <x v="0"/>
  </r>
  <r>
    <x v="6"/>
    <x v="1"/>
    <x v="55"/>
    <x v="2"/>
    <x v="2"/>
    <n v="8.9"/>
    <x v="1"/>
    <n v="2.5"/>
    <n v="2.29"/>
    <n v="0.6"/>
    <x v="1"/>
    <x v="1"/>
    <x v="8"/>
    <n v="9"/>
    <n v="7"/>
    <x v="0"/>
  </r>
  <r>
    <x v="3"/>
    <x v="0"/>
    <x v="53"/>
    <x v="0"/>
    <x v="2"/>
    <n v="6.8"/>
    <x v="0"/>
    <n v="0.6"/>
    <n v="3.2"/>
    <n v="1.7"/>
    <x v="0"/>
    <x v="2"/>
    <x v="2"/>
    <n v="7"/>
    <n v="5"/>
    <x v="0"/>
  </r>
  <r>
    <x v="3"/>
    <x v="0"/>
    <x v="35"/>
    <x v="2"/>
    <x v="2"/>
    <n v="8.8000000000000007"/>
    <x v="1"/>
    <n v="1.8"/>
    <n v="3.5"/>
    <n v="0.8"/>
    <x v="1"/>
    <x v="0"/>
    <x v="3"/>
    <n v="6"/>
    <n v="3"/>
    <x v="0"/>
  </r>
  <r>
    <x v="1"/>
    <x v="1"/>
    <x v="45"/>
    <x v="2"/>
    <x v="0"/>
    <n v="7.3"/>
    <x v="0"/>
    <n v="2"/>
    <n v="3.98"/>
    <n v="0.9"/>
    <x v="1"/>
    <x v="2"/>
    <x v="4"/>
    <n v="6"/>
    <n v="1"/>
    <x v="0"/>
  </r>
  <r>
    <x v="2"/>
    <x v="0"/>
    <x v="55"/>
    <x v="2"/>
    <x v="2"/>
    <n v="5.7"/>
    <x v="0"/>
    <n v="2"/>
    <n v="3.01"/>
    <n v="1"/>
    <x v="1"/>
    <x v="0"/>
    <x v="2"/>
    <n v="3"/>
    <n v="1"/>
    <x v="0"/>
  </r>
  <r>
    <x v="2"/>
    <x v="0"/>
    <x v="48"/>
    <x v="0"/>
    <x v="0"/>
    <n v="6.9"/>
    <x v="0"/>
    <n v="2.2000000000000002"/>
    <n v="2.36"/>
    <n v="1.6"/>
    <x v="0"/>
    <x v="0"/>
    <x v="6"/>
    <n v="2"/>
    <n v="8"/>
    <x v="0"/>
  </r>
  <r>
    <x v="0"/>
    <x v="1"/>
    <x v="68"/>
    <x v="2"/>
    <x v="1"/>
    <n v="5.7"/>
    <x v="0"/>
    <n v="1.7"/>
    <n v="2.88"/>
    <n v="0.2"/>
    <x v="1"/>
    <x v="0"/>
    <x v="8"/>
    <n v="10"/>
    <n v="3"/>
    <x v="0"/>
  </r>
  <r>
    <x v="1"/>
    <x v="1"/>
    <x v="27"/>
    <x v="2"/>
    <x v="0"/>
    <n v="6.3"/>
    <x v="0"/>
    <n v="2.9"/>
    <n v="2.04"/>
    <n v="0.5"/>
    <x v="1"/>
    <x v="2"/>
    <x v="5"/>
    <n v="2"/>
    <n v="2"/>
    <x v="0"/>
  </r>
  <r>
    <x v="1"/>
    <x v="1"/>
    <x v="64"/>
    <x v="2"/>
    <x v="0"/>
    <n v="7.1"/>
    <x v="0"/>
    <n v="2.5"/>
    <n v="3.91"/>
    <n v="1.5"/>
    <x v="0"/>
    <x v="1"/>
    <x v="4"/>
    <n v="8"/>
    <n v="9"/>
    <x v="0"/>
  </r>
  <r>
    <x v="5"/>
    <x v="0"/>
    <x v="28"/>
    <x v="2"/>
    <x v="0"/>
    <n v="8.1999999999999993"/>
    <x v="1"/>
    <n v="1.5"/>
    <n v="2.13"/>
    <n v="1"/>
    <x v="1"/>
    <x v="0"/>
    <x v="3"/>
    <n v="2"/>
    <n v="2"/>
    <x v="0"/>
  </r>
  <r>
    <x v="4"/>
    <x v="0"/>
    <x v="69"/>
    <x v="2"/>
    <x v="0"/>
    <n v="5"/>
    <x v="0"/>
    <n v="0.9"/>
    <n v="2.93"/>
    <n v="1.1000000000000001"/>
    <x v="0"/>
    <x v="0"/>
    <x v="6"/>
    <n v="10"/>
    <n v="10"/>
    <x v="0"/>
  </r>
  <r>
    <x v="1"/>
    <x v="1"/>
    <x v="47"/>
    <x v="1"/>
    <x v="0"/>
    <n v="4.5"/>
    <x v="0"/>
    <n v="2.8"/>
    <n v="3.22"/>
    <n v="1.6"/>
    <x v="0"/>
    <x v="2"/>
    <x v="5"/>
    <n v="3"/>
    <n v="10"/>
    <x v="0"/>
  </r>
  <r>
    <x v="0"/>
    <x v="1"/>
    <x v="24"/>
    <x v="2"/>
    <x v="1"/>
    <n v="6.2"/>
    <x v="0"/>
    <n v="1.8"/>
    <n v="2.36"/>
    <n v="1.7"/>
    <x v="0"/>
    <x v="1"/>
    <x v="6"/>
    <n v="1"/>
    <n v="8"/>
    <x v="0"/>
  </r>
  <r>
    <x v="3"/>
    <x v="1"/>
    <x v="57"/>
    <x v="2"/>
    <x v="1"/>
    <n v="5.3"/>
    <x v="0"/>
    <n v="0.9"/>
    <n v="3.75"/>
    <n v="0.5"/>
    <x v="1"/>
    <x v="1"/>
    <x v="7"/>
    <n v="5"/>
    <n v="5"/>
    <x v="0"/>
  </r>
  <r>
    <x v="0"/>
    <x v="1"/>
    <x v="4"/>
    <x v="2"/>
    <x v="1"/>
    <n v="4.4000000000000004"/>
    <x v="0"/>
    <n v="2.1"/>
    <n v="3.92"/>
    <n v="0.9"/>
    <x v="1"/>
    <x v="0"/>
    <x v="7"/>
    <n v="1"/>
    <n v="4"/>
    <x v="0"/>
  </r>
  <r>
    <x v="4"/>
    <x v="1"/>
    <x v="38"/>
    <x v="0"/>
    <x v="0"/>
    <n v="5.7"/>
    <x v="0"/>
    <n v="0.6"/>
    <n v="2.9"/>
    <n v="1.7"/>
    <x v="0"/>
    <x v="2"/>
    <x v="3"/>
    <n v="1"/>
    <n v="6"/>
    <x v="0"/>
  </r>
  <r>
    <x v="2"/>
    <x v="0"/>
    <x v="6"/>
    <x v="2"/>
    <x v="2"/>
    <n v="8.5"/>
    <x v="1"/>
    <n v="1"/>
    <n v="2.16"/>
    <n v="0.1"/>
    <x v="1"/>
    <x v="0"/>
    <x v="2"/>
    <n v="7"/>
    <n v="5"/>
    <x v="0"/>
  </r>
  <r>
    <x v="4"/>
    <x v="1"/>
    <x v="69"/>
    <x v="2"/>
    <x v="0"/>
    <n v="5.3"/>
    <x v="0"/>
    <n v="2.6"/>
    <n v="3.09"/>
    <n v="2"/>
    <x v="0"/>
    <x v="0"/>
    <x v="1"/>
    <n v="6"/>
    <n v="3"/>
    <x v="0"/>
  </r>
  <r>
    <x v="1"/>
    <x v="0"/>
    <x v="46"/>
    <x v="2"/>
    <x v="1"/>
    <n v="6.5"/>
    <x v="0"/>
    <n v="1.4"/>
    <n v="3.19"/>
    <n v="0"/>
    <x v="2"/>
    <x v="1"/>
    <x v="8"/>
    <n v="9"/>
    <n v="7"/>
    <x v="0"/>
  </r>
  <r>
    <x v="0"/>
    <x v="1"/>
    <x v="68"/>
    <x v="2"/>
    <x v="2"/>
    <n v="7.1"/>
    <x v="0"/>
    <n v="1.7"/>
    <n v="2.5"/>
    <n v="1.8"/>
    <x v="0"/>
    <x v="2"/>
    <x v="7"/>
    <n v="4"/>
    <n v="5"/>
    <x v="0"/>
  </r>
  <r>
    <x v="5"/>
    <x v="0"/>
    <x v="47"/>
    <x v="1"/>
    <x v="1"/>
    <n v="7.4"/>
    <x v="0"/>
    <n v="2.2999999999999998"/>
    <n v="3.76"/>
    <n v="0.8"/>
    <x v="1"/>
    <x v="0"/>
    <x v="8"/>
    <n v="5"/>
    <n v="8"/>
    <x v="0"/>
  </r>
  <r>
    <x v="5"/>
    <x v="1"/>
    <x v="60"/>
    <x v="0"/>
    <x v="1"/>
    <n v="4.2"/>
    <x v="0"/>
    <n v="2.8"/>
    <n v="3.87"/>
    <n v="0.7"/>
    <x v="1"/>
    <x v="1"/>
    <x v="7"/>
    <n v="2"/>
    <n v="9"/>
    <x v="0"/>
  </r>
  <r>
    <x v="4"/>
    <x v="0"/>
    <x v="12"/>
    <x v="2"/>
    <x v="1"/>
    <n v="8"/>
    <x v="1"/>
    <n v="2.5"/>
    <n v="3.4"/>
    <n v="0.1"/>
    <x v="1"/>
    <x v="0"/>
    <x v="5"/>
    <n v="2"/>
    <n v="1"/>
    <x v="0"/>
  </r>
  <r>
    <x v="0"/>
    <x v="1"/>
    <x v="61"/>
    <x v="2"/>
    <x v="0"/>
    <n v="7"/>
    <x v="0"/>
    <n v="2.7"/>
    <n v="3.97"/>
    <n v="1"/>
    <x v="1"/>
    <x v="2"/>
    <x v="2"/>
    <n v="8"/>
    <n v="8"/>
    <x v="0"/>
  </r>
  <r>
    <x v="6"/>
    <x v="1"/>
    <x v="54"/>
    <x v="2"/>
    <x v="0"/>
    <n v="7.2"/>
    <x v="0"/>
    <n v="0.6"/>
    <n v="2.11"/>
    <n v="1.1000000000000001"/>
    <x v="0"/>
    <x v="0"/>
    <x v="2"/>
    <n v="3"/>
    <n v="6"/>
    <x v="0"/>
  </r>
  <r>
    <x v="3"/>
    <x v="1"/>
    <x v="15"/>
    <x v="2"/>
    <x v="1"/>
    <n v="4.2"/>
    <x v="0"/>
    <n v="2.4"/>
    <n v="3.41"/>
    <n v="0.2"/>
    <x v="1"/>
    <x v="0"/>
    <x v="3"/>
    <n v="7"/>
    <n v="5"/>
    <x v="0"/>
  </r>
  <r>
    <x v="2"/>
    <x v="0"/>
    <x v="60"/>
    <x v="0"/>
    <x v="0"/>
    <n v="6"/>
    <x v="0"/>
    <n v="2"/>
    <n v="3.82"/>
    <n v="1.5"/>
    <x v="0"/>
    <x v="0"/>
    <x v="1"/>
    <n v="9"/>
    <n v="7"/>
    <x v="0"/>
  </r>
  <r>
    <x v="2"/>
    <x v="0"/>
    <x v="54"/>
    <x v="2"/>
    <x v="2"/>
    <n v="5.3"/>
    <x v="0"/>
    <n v="2.7"/>
    <n v="3.2"/>
    <n v="1.4"/>
    <x v="0"/>
    <x v="2"/>
    <x v="1"/>
    <n v="2"/>
    <n v="4"/>
    <x v="0"/>
  </r>
  <r>
    <x v="6"/>
    <x v="1"/>
    <x v="35"/>
    <x v="2"/>
    <x v="0"/>
    <n v="5.3"/>
    <x v="0"/>
    <n v="2.7"/>
    <n v="3.7"/>
    <n v="0.5"/>
    <x v="1"/>
    <x v="0"/>
    <x v="3"/>
    <n v="7"/>
    <n v="2"/>
    <x v="0"/>
  </r>
  <r>
    <x v="0"/>
    <x v="1"/>
    <x v="2"/>
    <x v="1"/>
    <x v="1"/>
    <n v="7.5"/>
    <x v="0"/>
    <n v="1.4"/>
    <n v="3.85"/>
    <n v="1.6"/>
    <x v="0"/>
    <x v="2"/>
    <x v="7"/>
    <n v="8"/>
    <n v="7"/>
    <x v="0"/>
  </r>
  <r>
    <x v="4"/>
    <x v="1"/>
    <x v="66"/>
    <x v="2"/>
    <x v="1"/>
    <n v="7"/>
    <x v="0"/>
    <n v="2.9"/>
    <n v="3.91"/>
    <n v="1.1000000000000001"/>
    <x v="0"/>
    <x v="2"/>
    <x v="8"/>
    <n v="9"/>
    <n v="1"/>
    <x v="0"/>
  </r>
  <r>
    <x v="0"/>
    <x v="0"/>
    <x v="40"/>
    <x v="2"/>
    <x v="2"/>
    <n v="4.8"/>
    <x v="0"/>
    <n v="0.8"/>
    <n v="3.32"/>
    <n v="0.3"/>
    <x v="1"/>
    <x v="1"/>
    <x v="5"/>
    <n v="2"/>
    <n v="5"/>
    <x v="0"/>
  </r>
  <r>
    <x v="1"/>
    <x v="0"/>
    <x v="40"/>
    <x v="2"/>
    <x v="2"/>
    <n v="4.8"/>
    <x v="0"/>
    <n v="2.8"/>
    <n v="3.98"/>
    <n v="1.9"/>
    <x v="0"/>
    <x v="2"/>
    <x v="9"/>
    <n v="5"/>
    <n v="3"/>
    <x v="0"/>
  </r>
  <r>
    <x v="0"/>
    <x v="0"/>
    <x v="3"/>
    <x v="0"/>
    <x v="0"/>
    <n v="8.9"/>
    <x v="1"/>
    <n v="2.4"/>
    <n v="2.29"/>
    <n v="1.1000000000000001"/>
    <x v="0"/>
    <x v="0"/>
    <x v="7"/>
    <n v="4"/>
    <n v="8"/>
    <x v="0"/>
  </r>
  <r>
    <x v="1"/>
    <x v="1"/>
    <x v="45"/>
    <x v="2"/>
    <x v="1"/>
    <n v="7.4"/>
    <x v="0"/>
    <n v="1.7"/>
    <n v="2.88"/>
    <n v="0.6"/>
    <x v="1"/>
    <x v="0"/>
    <x v="4"/>
    <n v="10"/>
    <n v="9"/>
    <x v="0"/>
  </r>
  <r>
    <x v="1"/>
    <x v="1"/>
    <x v="24"/>
    <x v="2"/>
    <x v="2"/>
    <n v="6.8"/>
    <x v="0"/>
    <n v="0.8"/>
    <n v="2.64"/>
    <n v="1.5"/>
    <x v="0"/>
    <x v="0"/>
    <x v="5"/>
    <n v="4"/>
    <n v="6"/>
    <x v="0"/>
  </r>
  <r>
    <x v="2"/>
    <x v="0"/>
    <x v="62"/>
    <x v="2"/>
    <x v="0"/>
    <n v="7.4"/>
    <x v="0"/>
    <n v="1.7"/>
    <n v="2.5"/>
    <n v="0.7"/>
    <x v="1"/>
    <x v="1"/>
    <x v="4"/>
    <n v="7"/>
    <n v="1"/>
    <x v="0"/>
  </r>
  <r>
    <x v="2"/>
    <x v="0"/>
    <x v="7"/>
    <x v="2"/>
    <x v="2"/>
    <n v="5.2"/>
    <x v="0"/>
    <n v="1.8"/>
    <n v="2.1"/>
    <n v="1.2"/>
    <x v="0"/>
    <x v="0"/>
    <x v="0"/>
    <n v="3"/>
    <n v="9"/>
    <x v="0"/>
  </r>
  <r>
    <x v="3"/>
    <x v="1"/>
    <x v="66"/>
    <x v="2"/>
    <x v="0"/>
    <n v="7.7"/>
    <x v="0"/>
    <n v="1"/>
    <n v="3.73"/>
    <n v="0.5"/>
    <x v="1"/>
    <x v="2"/>
    <x v="4"/>
    <n v="10"/>
    <n v="1"/>
    <x v="0"/>
  </r>
  <r>
    <x v="0"/>
    <x v="1"/>
    <x v="32"/>
    <x v="0"/>
    <x v="1"/>
    <n v="8.8000000000000007"/>
    <x v="1"/>
    <n v="2.5"/>
    <n v="2.12"/>
    <n v="0.5"/>
    <x v="1"/>
    <x v="1"/>
    <x v="7"/>
    <n v="10"/>
    <n v="1"/>
    <x v="0"/>
  </r>
  <r>
    <x v="4"/>
    <x v="0"/>
    <x v="66"/>
    <x v="2"/>
    <x v="0"/>
    <n v="6.9"/>
    <x v="0"/>
    <n v="2.2999999999999998"/>
    <n v="3.11"/>
    <n v="0.1"/>
    <x v="1"/>
    <x v="2"/>
    <x v="9"/>
    <n v="1"/>
    <n v="9"/>
    <x v="0"/>
  </r>
  <r>
    <x v="4"/>
    <x v="1"/>
    <x v="8"/>
    <x v="0"/>
    <x v="1"/>
    <n v="7.7"/>
    <x v="0"/>
    <n v="1.2"/>
    <n v="3.7"/>
    <n v="0.1"/>
    <x v="1"/>
    <x v="0"/>
    <x v="4"/>
    <n v="3"/>
    <n v="9"/>
    <x v="0"/>
  </r>
  <r>
    <x v="1"/>
    <x v="1"/>
    <x v="38"/>
    <x v="0"/>
    <x v="1"/>
    <n v="6.3"/>
    <x v="0"/>
    <n v="0.8"/>
    <n v="3.66"/>
    <n v="0.5"/>
    <x v="1"/>
    <x v="1"/>
    <x v="3"/>
    <n v="7"/>
    <n v="7"/>
    <x v="0"/>
  </r>
  <r>
    <x v="6"/>
    <x v="1"/>
    <x v="39"/>
    <x v="2"/>
    <x v="1"/>
    <n v="4.4000000000000004"/>
    <x v="0"/>
    <n v="0.9"/>
    <n v="2.35"/>
    <n v="1.5"/>
    <x v="0"/>
    <x v="1"/>
    <x v="3"/>
    <n v="1"/>
    <n v="7"/>
    <x v="0"/>
  </r>
  <r>
    <x v="1"/>
    <x v="0"/>
    <x v="25"/>
    <x v="1"/>
    <x v="2"/>
    <n v="4.4000000000000004"/>
    <x v="0"/>
    <n v="1.4"/>
    <n v="2.0299999999999998"/>
    <n v="1.1000000000000001"/>
    <x v="0"/>
    <x v="1"/>
    <x v="0"/>
    <n v="9"/>
    <n v="5"/>
    <x v="0"/>
  </r>
  <r>
    <x v="1"/>
    <x v="1"/>
    <x v="63"/>
    <x v="1"/>
    <x v="2"/>
    <n v="8"/>
    <x v="1"/>
    <n v="2.5"/>
    <n v="3.54"/>
    <n v="1.8"/>
    <x v="0"/>
    <x v="0"/>
    <x v="6"/>
    <n v="8"/>
    <n v="3"/>
    <x v="0"/>
  </r>
  <r>
    <x v="4"/>
    <x v="1"/>
    <x v="50"/>
    <x v="2"/>
    <x v="0"/>
    <n v="6.8"/>
    <x v="0"/>
    <n v="2.2999999999999998"/>
    <n v="3.16"/>
    <n v="1.8"/>
    <x v="0"/>
    <x v="0"/>
    <x v="6"/>
    <n v="8"/>
    <n v="5"/>
    <x v="0"/>
  </r>
  <r>
    <x v="2"/>
    <x v="0"/>
    <x v="14"/>
    <x v="1"/>
    <x v="2"/>
    <n v="8"/>
    <x v="1"/>
    <n v="0.5"/>
    <n v="3.01"/>
    <n v="0.4"/>
    <x v="1"/>
    <x v="2"/>
    <x v="7"/>
    <n v="2"/>
    <n v="3"/>
    <x v="0"/>
  </r>
  <r>
    <x v="4"/>
    <x v="0"/>
    <x v="41"/>
    <x v="0"/>
    <x v="1"/>
    <n v="5.0999999999999996"/>
    <x v="0"/>
    <n v="2.6"/>
    <n v="3.82"/>
    <n v="0.7"/>
    <x v="1"/>
    <x v="0"/>
    <x v="9"/>
    <n v="3"/>
    <n v="8"/>
    <x v="0"/>
  </r>
  <r>
    <x v="0"/>
    <x v="1"/>
    <x v="35"/>
    <x v="2"/>
    <x v="0"/>
    <n v="4.5999999999999996"/>
    <x v="0"/>
    <n v="0.7"/>
    <n v="2.74"/>
    <n v="1"/>
    <x v="1"/>
    <x v="0"/>
    <x v="0"/>
    <n v="7"/>
    <n v="8"/>
    <x v="0"/>
  </r>
  <r>
    <x v="2"/>
    <x v="0"/>
    <x v="57"/>
    <x v="2"/>
    <x v="2"/>
    <n v="8.1999999999999993"/>
    <x v="1"/>
    <n v="2.7"/>
    <n v="3.13"/>
    <n v="0.3"/>
    <x v="1"/>
    <x v="2"/>
    <x v="3"/>
    <n v="1"/>
    <n v="2"/>
    <x v="0"/>
  </r>
  <r>
    <x v="2"/>
    <x v="0"/>
    <x v="28"/>
    <x v="2"/>
    <x v="1"/>
    <n v="5.0999999999999996"/>
    <x v="0"/>
    <n v="2.5"/>
    <n v="2.13"/>
    <n v="1"/>
    <x v="1"/>
    <x v="2"/>
    <x v="0"/>
    <n v="5"/>
    <n v="6"/>
    <x v="0"/>
  </r>
  <r>
    <x v="6"/>
    <x v="0"/>
    <x v="62"/>
    <x v="2"/>
    <x v="1"/>
    <n v="6.6"/>
    <x v="0"/>
    <n v="2.6"/>
    <n v="3.58"/>
    <n v="1.6"/>
    <x v="0"/>
    <x v="2"/>
    <x v="9"/>
    <n v="7"/>
    <n v="10"/>
    <x v="0"/>
  </r>
  <r>
    <x v="5"/>
    <x v="1"/>
    <x v="53"/>
    <x v="0"/>
    <x v="1"/>
    <n v="4.7"/>
    <x v="0"/>
    <n v="1.1000000000000001"/>
    <n v="3.53"/>
    <n v="2"/>
    <x v="0"/>
    <x v="2"/>
    <x v="8"/>
    <n v="3"/>
    <n v="8"/>
    <x v="0"/>
  </r>
  <r>
    <x v="3"/>
    <x v="1"/>
    <x v="29"/>
    <x v="2"/>
    <x v="1"/>
    <n v="7.3"/>
    <x v="0"/>
    <n v="1.9"/>
    <n v="2.76"/>
    <n v="0.9"/>
    <x v="1"/>
    <x v="1"/>
    <x v="0"/>
    <n v="10"/>
    <n v="1"/>
    <x v="0"/>
  </r>
  <r>
    <x v="5"/>
    <x v="1"/>
    <x v="3"/>
    <x v="0"/>
    <x v="1"/>
    <n v="4.5999999999999996"/>
    <x v="0"/>
    <n v="1"/>
    <n v="2.23"/>
    <n v="1.1000000000000001"/>
    <x v="0"/>
    <x v="0"/>
    <x v="0"/>
    <n v="4"/>
    <n v="5"/>
    <x v="0"/>
  </r>
  <r>
    <x v="4"/>
    <x v="0"/>
    <x v="26"/>
    <x v="2"/>
    <x v="0"/>
    <n v="7.9"/>
    <x v="0"/>
    <n v="1.2"/>
    <n v="2.75"/>
    <n v="1.9"/>
    <x v="0"/>
    <x v="2"/>
    <x v="5"/>
    <n v="8"/>
    <n v="3"/>
    <x v="0"/>
  </r>
  <r>
    <x v="6"/>
    <x v="1"/>
    <x v="20"/>
    <x v="2"/>
    <x v="1"/>
    <n v="6.4"/>
    <x v="0"/>
    <n v="1.1000000000000001"/>
    <n v="3.32"/>
    <n v="1.9"/>
    <x v="0"/>
    <x v="2"/>
    <x v="1"/>
    <n v="5"/>
    <n v="10"/>
    <x v="0"/>
  </r>
  <r>
    <x v="5"/>
    <x v="1"/>
    <x v="13"/>
    <x v="2"/>
    <x v="2"/>
    <n v="4.4000000000000004"/>
    <x v="0"/>
    <n v="2.4"/>
    <n v="2.5299999999999998"/>
    <n v="0.7"/>
    <x v="1"/>
    <x v="2"/>
    <x v="2"/>
    <n v="7"/>
    <n v="5"/>
    <x v="0"/>
  </r>
  <r>
    <x v="4"/>
    <x v="0"/>
    <x v="5"/>
    <x v="2"/>
    <x v="2"/>
    <n v="5.7"/>
    <x v="0"/>
    <n v="2.1"/>
    <n v="3.33"/>
    <n v="0.6"/>
    <x v="1"/>
    <x v="0"/>
    <x v="1"/>
    <n v="4"/>
    <n v="6"/>
    <x v="0"/>
  </r>
  <r>
    <x v="3"/>
    <x v="0"/>
    <x v="34"/>
    <x v="2"/>
    <x v="2"/>
    <n v="7"/>
    <x v="0"/>
    <n v="1.5"/>
    <n v="3.16"/>
    <n v="1.7"/>
    <x v="0"/>
    <x v="2"/>
    <x v="6"/>
    <n v="7"/>
    <n v="10"/>
    <x v="0"/>
  </r>
  <r>
    <x v="4"/>
    <x v="1"/>
    <x v="1"/>
    <x v="1"/>
    <x v="2"/>
    <n v="5.0999999999999996"/>
    <x v="0"/>
    <n v="2.9"/>
    <n v="2.62"/>
    <n v="1"/>
    <x v="1"/>
    <x v="0"/>
    <x v="6"/>
    <n v="3"/>
    <n v="2"/>
    <x v="0"/>
  </r>
  <r>
    <x v="2"/>
    <x v="0"/>
    <x v="55"/>
    <x v="2"/>
    <x v="0"/>
    <n v="7.7"/>
    <x v="0"/>
    <n v="0.7"/>
    <n v="3.45"/>
    <n v="1"/>
    <x v="1"/>
    <x v="0"/>
    <x v="0"/>
    <n v="8"/>
    <n v="9"/>
    <x v="0"/>
  </r>
  <r>
    <x v="4"/>
    <x v="1"/>
    <x v="40"/>
    <x v="2"/>
    <x v="2"/>
    <n v="4"/>
    <x v="0"/>
    <n v="1.8"/>
    <n v="2.19"/>
    <n v="1.4"/>
    <x v="0"/>
    <x v="1"/>
    <x v="2"/>
    <n v="2"/>
    <n v="5"/>
    <x v="0"/>
  </r>
  <r>
    <x v="2"/>
    <x v="1"/>
    <x v="43"/>
    <x v="1"/>
    <x v="2"/>
    <n v="8.6999999999999993"/>
    <x v="1"/>
    <n v="2.1"/>
    <n v="3.01"/>
    <n v="0.7"/>
    <x v="1"/>
    <x v="2"/>
    <x v="2"/>
    <n v="1"/>
    <n v="3"/>
    <x v="0"/>
  </r>
  <r>
    <x v="3"/>
    <x v="1"/>
    <x v="40"/>
    <x v="2"/>
    <x v="2"/>
    <n v="8.6999999999999993"/>
    <x v="1"/>
    <n v="1.1000000000000001"/>
    <n v="2.82"/>
    <n v="0.3"/>
    <x v="1"/>
    <x v="1"/>
    <x v="5"/>
    <n v="10"/>
    <n v="6"/>
    <x v="0"/>
  </r>
  <r>
    <x v="5"/>
    <x v="0"/>
    <x v="48"/>
    <x v="0"/>
    <x v="0"/>
    <n v="8.1"/>
    <x v="1"/>
    <n v="2.5"/>
    <n v="2.7"/>
    <n v="1.7"/>
    <x v="0"/>
    <x v="2"/>
    <x v="6"/>
    <n v="5"/>
    <n v="7"/>
    <x v="0"/>
  </r>
  <r>
    <x v="0"/>
    <x v="1"/>
    <x v="17"/>
    <x v="1"/>
    <x v="1"/>
    <n v="8.5"/>
    <x v="1"/>
    <n v="2.2999999999999998"/>
    <n v="3.91"/>
    <n v="1.8"/>
    <x v="0"/>
    <x v="1"/>
    <x v="2"/>
    <n v="8"/>
    <n v="1"/>
    <x v="0"/>
  </r>
  <r>
    <x v="3"/>
    <x v="0"/>
    <x v="67"/>
    <x v="2"/>
    <x v="0"/>
    <n v="6.1"/>
    <x v="0"/>
    <n v="0.9"/>
    <n v="3.81"/>
    <n v="0.1"/>
    <x v="1"/>
    <x v="1"/>
    <x v="0"/>
    <n v="7"/>
    <n v="3"/>
    <x v="0"/>
  </r>
  <r>
    <x v="3"/>
    <x v="1"/>
    <x v="64"/>
    <x v="2"/>
    <x v="1"/>
    <n v="6.8"/>
    <x v="0"/>
    <n v="1.4"/>
    <n v="2.0099999999999998"/>
    <n v="1"/>
    <x v="1"/>
    <x v="0"/>
    <x v="4"/>
    <n v="6"/>
    <n v="4"/>
    <x v="0"/>
  </r>
  <r>
    <x v="1"/>
    <x v="0"/>
    <x v="54"/>
    <x v="2"/>
    <x v="2"/>
    <n v="5.6"/>
    <x v="0"/>
    <n v="1.1000000000000001"/>
    <n v="2.4300000000000002"/>
    <n v="1.7"/>
    <x v="0"/>
    <x v="2"/>
    <x v="2"/>
    <n v="3"/>
    <n v="3"/>
    <x v="0"/>
  </r>
  <r>
    <x v="1"/>
    <x v="0"/>
    <x v="45"/>
    <x v="2"/>
    <x v="0"/>
    <n v="4.9000000000000004"/>
    <x v="0"/>
    <n v="0.6"/>
    <n v="3.17"/>
    <n v="0"/>
    <x v="2"/>
    <x v="0"/>
    <x v="5"/>
    <n v="6"/>
    <n v="10"/>
    <x v="0"/>
  </r>
  <r>
    <x v="3"/>
    <x v="1"/>
    <x v="26"/>
    <x v="2"/>
    <x v="1"/>
    <n v="7.6"/>
    <x v="0"/>
    <n v="2.5"/>
    <n v="2.37"/>
    <n v="1.9"/>
    <x v="0"/>
    <x v="1"/>
    <x v="2"/>
    <n v="8"/>
    <n v="7"/>
    <x v="0"/>
  </r>
  <r>
    <x v="1"/>
    <x v="1"/>
    <x v="1"/>
    <x v="1"/>
    <x v="2"/>
    <n v="6.2"/>
    <x v="0"/>
    <n v="0.9"/>
    <n v="2.4700000000000002"/>
    <n v="1.4"/>
    <x v="0"/>
    <x v="0"/>
    <x v="5"/>
    <n v="6"/>
    <n v="7"/>
    <x v="0"/>
  </r>
  <r>
    <x v="0"/>
    <x v="0"/>
    <x v="14"/>
    <x v="1"/>
    <x v="2"/>
    <n v="6.8"/>
    <x v="0"/>
    <n v="0.8"/>
    <n v="3.14"/>
    <n v="0"/>
    <x v="2"/>
    <x v="2"/>
    <x v="6"/>
    <n v="5"/>
    <n v="8"/>
    <x v="0"/>
  </r>
  <r>
    <x v="2"/>
    <x v="1"/>
    <x v="44"/>
    <x v="2"/>
    <x v="1"/>
    <n v="4.8"/>
    <x v="0"/>
    <n v="0.7"/>
    <n v="2.52"/>
    <n v="1.8"/>
    <x v="0"/>
    <x v="2"/>
    <x v="8"/>
    <n v="6"/>
    <n v="6"/>
    <x v="0"/>
  </r>
  <r>
    <x v="5"/>
    <x v="0"/>
    <x v="17"/>
    <x v="1"/>
    <x v="0"/>
    <n v="7.3"/>
    <x v="0"/>
    <n v="1"/>
    <n v="2.36"/>
    <n v="1.1000000000000001"/>
    <x v="0"/>
    <x v="2"/>
    <x v="5"/>
    <n v="3"/>
    <n v="6"/>
    <x v="0"/>
  </r>
  <r>
    <x v="4"/>
    <x v="1"/>
    <x v="47"/>
    <x v="1"/>
    <x v="2"/>
    <n v="7.8"/>
    <x v="0"/>
    <n v="2"/>
    <n v="2.67"/>
    <n v="0.8"/>
    <x v="1"/>
    <x v="0"/>
    <x v="6"/>
    <n v="6"/>
    <n v="3"/>
    <x v="0"/>
  </r>
  <r>
    <x v="1"/>
    <x v="0"/>
    <x v="29"/>
    <x v="2"/>
    <x v="2"/>
    <n v="7.5"/>
    <x v="0"/>
    <n v="1"/>
    <n v="2.68"/>
    <n v="1.5"/>
    <x v="0"/>
    <x v="0"/>
    <x v="8"/>
    <n v="4"/>
    <n v="6"/>
    <x v="0"/>
  </r>
  <r>
    <x v="1"/>
    <x v="0"/>
    <x v="56"/>
    <x v="2"/>
    <x v="2"/>
    <n v="5.6"/>
    <x v="0"/>
    <n v="2.4"/>
    <n v="3.56"/>
    <n v="1"/>
    <x v="1"/>
    <x v="1"/>
    <x v="8"/>
    <n v="3"/>
    <n v="4"/>
    <x v="0"/>
  </r>
  <r>
    <x v="3"/>
    <x v="0"/>
    <x v="57"/>
    <x v="2"/>
    <x v="0"/>
    <n v="6"/>
    <x v="0"/>
    <n v="0.5"/>
    <n v="3.33"/>
    <n v="0.7"/>
    <x v="1"/>
    <x v="2"/>
    <x v="2"/>
    <n v="6"/>
    <n v="10"/>
    <x v="0"/>
  </r>
  <r>
    <x v="0"/>
    <x v="0"/>
    <x v="66"/>
    <x v="2"/>
    <x v="2"/>
    <n v="4.3"/>
    <x v="0"/>
    <n v="3"/>
    <n v="2.14"/>
    <n v="1.9"/>
    <x v="0"/>
    <x v="2"/>
    <x v="8"/>
    <n v="3"/>
    <n v="7"/>
    <x v="0"/>
  </r>
  <r>
    <x v="3"/>
    <x v="0"/>
    <x v="35"/>
    <x v="2"/>
    <x v="1"/>
    <n v="4.5"/>
    <x v="0"/>
    <n v="2.7"/>
    <n v="2.4700000000000002"/>
    <n v="1.4"/>
    <x v="0"/>
    <x v="0"/>
    <x v="2"/>
    <n v="5"/>
    <n v="10"/>
    <x v="0"/>
  </r>
  <r>
    <x v="3"/>
    <x v="0"/>
    <x v="11"/>
    <x v="2"/>
    <x v="2"/>
    <n v="6.6"/>
    <x v="0"/>
    <n v="2.1"/>
    <n v="3.43"/>
    <n v="1.7"/>
    <x v="0"/>
    <x v="0"/>
    <x v="7"/>
    <n v="10"/>
    <n v="8"/>
    <x v="0"/>
  </r>
  <r>
    <x v="0"/>
    <x v="0"/>
    <x v="59"/>
    <x v="0"/>
    <x v="0"/>
    <n v="5.2"/>
    <x v="0"/>
    <n v="1.4"/>
    <n v="3.27"/>
    <n v="1.7"/>
    <x v="0"/>
    <x v="2"/>
    <x v="5"/>
    <n v="7"/>
    <n v="8"/>
    <x v="0"/>
  </r>
  <r>
    <x v="2"/>
    <x v="1"/>
    <x v="41"/>
    <x v="0"/>
    <x v="2"/>
    <n v="8.1"/>
    <x v="1"/>
    <n v="2.8"/>
    <n v="2.58"/>
    <n v="0.5"/>
    <x v="1"/>
    <x v="2"/>
    <x v="0"/>
    <n v="2"/>
    <n v="3"/>
    <x v="0"/>
  </r>
  <r>
    <x v="2"/>
    <x v="1"/>
    <x v="5"/>
    <x v="2"/>
    <x v="0"/>
    <n v="4.4000000000000004"/>
    <x v="0"/>
    <n v="2"/>
    <n v="3.29"/>
    <n v="0.7"/>
    <x v="1"/>
    <x v="0"/>
    <x v="6"/>
    <n v="6"/>
    <n v="5"/>
    <x v="0"/>
  </r>
  <r>
    <x v="3"/>
    <x v="0"/>
    <x v="52"/>
    <x v="2"/>
    <x v="1"/>
    <n v="5.4"/>
    <x v="0"/>
    <n v="2.1"/>
    <n v="3.44"/>
    <n v="1.8"/>
    <x v="0"/>
    <x v="0"/>
    <x v="9"/>
    <n v="3"/>
    <n v="6"/>
    <x v="0"/>
  </r>
  <r>
    <x v="6"/>
    <x v="0"/>
    <x v="51"/>
    <x v="0"/>
    <x v="0"/>
    <n v="4.4000000000000004"/>
    <x v="0"/>
    <n v="2"/>
    <n v="3.09"/>
    <n v="1"/>
    <x v="1"/>
    <x v="1"/>
    <x v="1"/>
    <n v="7"/>
    <n v="8"/>
    <x v="1"/>
  </r>
  <r>
    <x v="4"/>
    <x v="1"/>
    <x v="50"/>
    <x v="2"/>
    <x v="2"/>
    <n v="7.8"/>
    <x v="0"/>
    <n v="0.7"/>
    <n v="3.46"/>
    <n v="1.3"/>
    <x v="0"/>
    <x v="0"/>
    <x v="5"/>
    <n v="10"/>
    <n v="6"/>
    <x v="0"/>
  </r>
  <r>
    <x v="5"/>
    <x v="1"/>
    <x v="20"/>
    <x v="2"/>
    <x v="1"/>
    <n v="4.3"/>
    <x v="0"/>
    <n v="1.5"/>
    <n v="2.54"/>
    <n v="0.3"/>
    <x v="1"/>
    <x v="1"/>
    <x v="9"/>
    <n v="7"/>
    <n v="10"/>
    <x v="1"/>
  </r>
  <r>
    <x v="0"/>
    <x v="0"/>
    <x v="27"/>
    <x v="2"/>
    <x v="1"/>
    <n v="5.2"/>
    <x v="0"/>
    <n v="0.5"/>
    <n v="3.55"/>
    <n v="0.4"/>
    <x v="1"/>
    <x v="0"/>
    <x v="7"/>
    <n v="6"/>
    <n v="8"/>
    <x v="0"/>
  </r>
  <r>
    <x v="1"/>
    <x v="0"/>
    <x v="61"/>
    <x v="2"/>
    <x v="0"/>
    <n v="7.1"/>
    <x v="0"/>
    <n v="2.2999999999999998"/>
    <n v="3.22"/>
    <n v="0.5"/>
    <x v="1"/>
    <x v="0"/>
    <x v="6"/>
    <n v="3"/>
    <n v="7"/>
    <x v="0"/>
  </r>
  <r>
    <x v="2"/>
    <x v="0"/>
    <x v="64"/>
    <x v="2"/>
    <x v="1"/>
    <n v="7.3"/>
    <x v="0"/>
    <n v="2.6"/>
    <n v="3.2"/>
    <n v="0.2"/>
    <x v="1"/>
    <x v="1"/>
    <x v="9"/>
    <n v="1"/>
    <n v="3"/>
    <x v="0"/>
  </r>
  <r>
    <x v="3"/>
    <x v="0"/>
    <x v="4"/>
    <x v="2"/>
    <x v="0"/>
    <n v="8.1999999999999993"/>
    <x v="1"/>
    <n v="2.2999999999999998"/>
    <n v="3.35"/>
    <n v="0.6"/>
    <x v="1"/>
    <x v="0"/>
    <x v="4"/>
    <n v="2"/>
    <n v="5"/>
    <x v="0"/>
  </r>
  <r>
    <x v="4"/>
    <x v="0"/>
    <x v="25"/>
    <x v="1"/>
    <x v="1"/>
    <n v="5.8"/>
    <x v="0"/>
    <n v="0.6"/>
    <n v="3.63"/>
    <n v="1.1000000000000001"/>
    <x v="0"/>
    <x v="1"/>
    <x v="4"/>
    <n v="9"/>
    <n v="7"/>
    <x v="0"/>
  </r>
  <r>
    <x v="0"/>
    <x v="1"/>
    <x v="65"/>
    <x v="1"/>
    <x v="1"/>
    <n v="6.5"/>
    <x v="0"/>
    <n v="2.7"/>
    <n v="2.06"/>
    <n v="0.1"/>
    <x v="1"/>
    <x v="2"/>
    <x v="8"/>
    <n v="5"/>
    <n v="9"/>
    <x v="0"/>
  </r>
  <r>
    <x v="4"/>
    <x v="0"/>
    <x v="28"/>
    <x v="2"/>
    <x v="0"/>
    <n v="4.0999999999999996"/>
    <x v="0"/>
    <n v="1.4"/>
    <n v="2.2799999999999998"/>
    <n v="0.4"/>
    <x v="1"/>
    <x v="2"/>
    <x v="6"/>
    <n v="10"/>
    <n v="10"/>
    <x v="0"/>
  </r>
  <r>
    <x v="6"/>
    <x v="1"/>
    <x v="5"/>
    <x v="2"/>
    <x v="1"/>
    <n v="6.8"/>
    <x v="0"/>
    <n v="2.8"/>
    <n v="2.77"/>
    <n v="0.5"/>
    <x v="1"/>
    <x v="0"/>
    <x v="0"/>
    <n v="6"/>
    <n v="10"/>
    <x v="0"/>
  </r>
  <r>
    <x v="5"/>
    <x v="1"/>
    <x v="64"/>
    <x v="2"/>
    <x v="1"/>
    <n v="6.3"/>
    <x v="0"/>
    <n v="1.2"/>
    <n v="3.72"/>
    <n v="1.9"/>
    <x v="0"/>
    <x v="0"/>
    <x v="5"/>
    <n v="3"/>
    <n v="7"/>
    <x v="0"/>
  </r>
  <r>
    <x v="1"/>
    <x v="1"/>
    <x v="17"/>
    <x v="1"/>
    <x v="1"/>
    <n v="4.8"/>
    <x v="0"/>
    <n v="1.7"/>
    <n v="2.16"/>
    <n v="0.6"/>
    <x v="1"/>
    <x v="2"/>
    <x v="7"/>
    <n v="10"/>
    <n v="10"/>
    <x v="0"/>
  </r>
  <r>
    <x v="3"/>
    <x v="0"/>
    <x v="26"/>
    <x v="2"/>
    <x v="0"/>
    <n v="7.2"/>
    <x v="0"/>
    <n v="2.9"/>
    <n v="3.27"/>
    <n v="0.8"/>
    <x v="1"/>
    <x v="2"/>
    <x v="5"/>
    <n v="2"/>
    <n v="9"/>
    <x v="0"/>
  </r>
  <r>
    <x v="6"/>
    <x v="0"/>
    <x v="14"/>
    <x v="1"/>
    <x v="2"/>
    <n v="5.2"/>
    <x v="0"/>
    <n v="0.8"/>
    <n v="2.16"/>
    <n v="0.9"/>
    <x v="1"/>
    <x v="2"/>
    <x v="7"/>
    <n v="6"/>
    <n v="8"/>
    <x v="0"/>
  </r>
  <r>
    <x v="3"/>
    <x v="0"/>
    <x v="50"/>
    <x v="2"/>
    <x v="0"/>
    <n v="5.6"/>
    <x v="0"/>
    <n v="0.7"/>
    <n v="3.1"/>
    <n v="1.5"/>
    <x v="0"/>
    <x v="1"/>
    <x v="4"/>
    <n v="3"/>
    <n v="1"/>
    <x v="0"/>
  </r>
  <r>
    <x v="1"/>
    <x v="1"/>
    <x v="32"/>
    <x v="0"/>
    <x v="2"/>
    <n v="7.4"/>
    <x v="0"/>
    <n v="1.5"/>
    <n v="2.84"/>
    <n v="1"/>
    <x v="1"/>
    <x v="2"/>
    <x v="8"/>
    <n v="8"/>
    <n v="5"/>
    <x v="0"/>
  </r>
  <r>
    <x v="5"/>
    <x v="0"/>
    <x v="23"/>
    <x v="2"/>
    <x v="0"/>
    <n v="8.1999999999999993"/>
    <x v="1"/>
    <n v="1"/>
    <n v="3.15"/>
    <n v="0.9"/>
    <x v="1"/>
    <x v="2"/>
    <x v="8"/>
    <n v="7"/>
    <n v="10"/>
    <x v="0"/>
  </r>
  <r>
    <x v="1"/>
    <x v="0"/>
    <x v="5"/>
    <x v="2"/>
    <x v="1"/>
    <n v="7.1"/>
    <x v="0"/>
    <n v="1.9"/>
    <n v="2.35"/>
    <n v="1.1000000000000001"/>
    <x v="0"/>
    <x v="0"/>
    <x v="6"/>
    <n v="4"/>
    <n v="8"/>
    <x v="0"/>
  </r>
  <r>
    <x v="5"/>
    <x v="1"/>
    <x v="51"/>
    <x v="0"/>
    <x v="0"/>
    <n v="4.7"/>
    <x v="0"/>
    <n v="2.9"/>
    <n v="2.17"/>
    <n v="1.2"/>
    <x v="0"/>
    <x v="2"/>
    <x v="5"/>
    <n v="7"/>
    <n v="6"/>
    <x v="0"/>
  </r>
  <r>
    <x v="1"/>
    <x v="1"/>
    <x v="40"/>
    <x v="2"/>
    <x v="2"/>
    <n v="7.9"/>
    <x v="0"/>
    <n v="2.1"/>
    <n v="3.52"/>
    <n v="0.6"/>
    <x v="1"/>
    <x v="1"/>
    <x v="3"/>
    <n v="2"/>
    <n v="4"/>
    <x v="0"/>
  </r>
  <r>
    <x v="5"/>
    <x v="1"/>
    <x v="35"/>
    <x v="2"/>
    <x v="1"/>
    <n v="6.1"/>
    <x v="0"/>
    <n v="2.7"/>
    <n v="3.83"/>
    <n v="0.1"/>
    <x v="1"/>
    <x v="2"/>
    <x v="6"/>
    <n v="5"/>
    <n v="10"/>
    <x v="0"/>
  </r>
  <r>
    <x v="2"/>
    <x v="0"/>
    <x v="9"/>
    <x v="2"/>
    <x v="0"/>
    <n v="6.4"/>
    <x v="0"/>
    <n v="2.5"/>
    <n v="2.64"/>
    <n v="1.9"/>
    <x v="0"/>
    <x v="2"/>
    <x v="4"/>
    <n v="2"/>
    <n v="10"/>
    <x v="0"/>
  </r>
  <r>
    <x v="0"/>
    <x v="0"/>
    <x v="18"/>
    <x v="2"/>
    <x v="2"/>
    <n v="5.8"/>
    <x v="0"/>
    <n v="3"/>
    <n v="3.32"/>
    <n v="0.6"/>
    <x v="1"/>
    <x v="2"/>
    <x v="2"/>
    <n v="4"/>
    <n v="4"/>
    <x v="0"/>
  </r>
  <r>
    <x v="4"/>
    <x v="0"/>
    <x v="5"/>
    <x v="2"/>
    <x v="1"/>
    <n v="4.5999999999999996"/>
    <x v="0"/>
    <n v="2.2000000000000002"/>
    <n v="2.0499999999999998"/>
    <n v="0.7"/>
    <x v="1"/>
    <x v="2"/>
    <x v="8"/>
    <n v="5"/>
    <n v="10"/>
    <x v="0"/>
  </r>
  <r>
    <x v="5"/>
    <x v="0"/>
    <x v="29"/>
    <x v="2"/>
    <x v="2"/>
    <n v="5.4"/>
    <x v="0"/>
    <n v="0.9"/>
    <n v="2.06"/>
    <n v="1.9"/>
    <x v="0"/>
    <x v="0"/>
    <x v="1"/>
    <n v="3"/>
    <n v="2"/>
    <x v="0"/>
  </r>
  <r>
    <x v="1"/>
    <x v="0"/>
    <x v="3"/>
    <x v="0"/>
    <x v="1"/>
    <n v="6.1"/>
    <x v="0"/>
    <n v="1.1000000000000001"/>
    <n v="2.15"/>
    <n v="1.6"/>
    <x v="0"/>
    <x v="1"/>
    <x v="6"/>
    <n v="4"/>
    <n v="1"/>
    <x v="0"/>
  </r>
  <r>
    <x v="5"/>
    <x v="1"/>
    <x v="56"/>
    <x v="2"/>
    <x v="0"/>
    <n v="4.8"/>
    <x v="0"/>
    <n v="1.3"/>
    <n v="2.29"/>
    <n v="1.8"/>
    <x v="0"/>
    <x v="1"/>
    <x v="4"/>
    <n v="9"/>
    <n v="2"/>
    <x v="0"/>
  </r>
  <r>
    <x v="1"/>
    <x v="0"/>
    <x v="56"/>
    <x v="2"/>
    <x v="1"/>
    <n v="6.8"/>
    <x v="0"/>
    <n v="2.2000000000000002"/>
    <n v="2.33"/>
    <n v="1"/>
    <x v="1"/>
    <x v="2"/>
    <x v="9"/>
    <n v="6"/>
    <n v="7"/>
    <x v="0"/>
  </r>
  <r>
    <x v="5"/>
    <x v="0"/>
    <x v="47"/>
    <x v="1"/>
    <x v="0"/>
    <n v="4.9000000000000004"/>
    <x v="0"/>
    <n v="2.2999999999999998"/>
    <n v="2.67"/>
    <n v="1.4"/>
    <x v="0"/>
    <x v="2"/>
    <x v="3"/>
    <n v="8"/>
    <n v="6"/>
    <x v="0"/>
  </r>
  <r>
    <x v="4"/>
    <x v="0"/>
    <x v="11"/>
    <x v="2"/>
    <x v="2"/>
    <n v="5.4"/>
    <x v="0"/>
    <n v="0.9"/>
    <n v="2.64"/>
    <n v="0.3"/>
    <x v="1"/>
    <x v="1"/>
    <x v="8"/>
    <n v="1"/>
    <n v="8"/>
    <x v="0"/>
  </r>
  <r>
    <x v="4"/>
    <x v="0"/>
    <x v="0"/>
    <x v="0"/>
    <x v="0"/>
    <n v="4.0999999999999996"/>
    <x v="0"/>
    <n v="2.8"/>
    <n v="3.25"/>
    <n v="1.4"/>
    <x v="0"/>
    <x v="1"/>
    <x v="6"/>
    <n v="2"/>
    <n v="4"/>
    <x v="0"/>
  </r>
  <r>
    <x v="3"/>
    <x v="0"/>
    <x v="60"/>
    <x v="0"/>
    <x v="2"/>
    <n v="6"/>
    <x v="0"/>
    <n v="2.9"/>
    <n v="2.72"/>
    <n v="1.8"/>
    <x v="0"/>
    <x v="1"/>
    <x v="2"/>
    <n v="9"/>
    <n v="6"/>
    <x v="0"/>
  </r>
  <r>
    <x v="4"/>
    <x v="0"/>
    <x v="61"/>
    <x v="2"/>
    <x v="1"/>
    <n v="5.8"/>
    <x v="0"/>
    <n v="1.8"/>
    <n v="3.59"/>
    <n v="0.2"/>
    <x v="1"/>
    <x v="0"/>
    <x v="0"/>
    <n v="5"/>
    <n v="4"/>
    <x v="0"/>
  </r>
  <r>
    <x v="5"/>
    <x v="1"/>
    <x v="63"/>
    <x v="1"/>
    <x v="2"/>
    <n v="5.7"/>
    <x v="0"/>
    <n v="1.8"/>
    <n v="2"/>
    <n v="1.4"/>
    <x v="0"/>
    <x v="0"/>
    <x v="6"/>
    <n v="8"/>
    <n v="7"/>
    <x v="0"/>
  </r>
  <r>
    <x v="1"/>
    <x v="0"/>
    <x v="30"/>
    <x v="2"/>
    <x v="1"/>
    <n v="5.7"/>
    <x v="0"/>
    <n v="1.4"/>
    <n v="2.0299999999999998"/>
    <n v="1.1000000000000001"/>
    <x v="0"/>
    <x v="0"/>
    <x v="6"/>
    <n v="6"/>
    <n v="1"/>
    <x v="0"/>
  </r>
  <r>
    <x v="6"/>
    <x v="0"/>
    <x v="2"/>
    <x v="1"/>
    <x v="0"/>
    <n v="5.7"/>
    <x v="0"/>
    <n v="1.1000000000000001"/>
    <n v="3.74"/>
    <n v="1.3"/>
    <x v="0"/>
    <x v="0"/>
    <x v="8"/>
    <n v="5"/>
    <n v="10"/>
    <x v="0"/>
  </r>
  <r>
    <x v="2"/>
    <x v="0"/>
    <x v="49"/>
    <x v="2"/>
    <x v="1"/>
    <n v="5.0999999999999996"/>
    <x v="0"/>
    <n v="2.9"/>
    <n v="3.99"/>
    <n v="0.6"/>
    <x v="1"/>
    <x v="2"/>
    <x v="6"/>
    <n v="2"/>
    <n v="9"/>
    <x v="0"/>
  </r>
  <r>
    <x v="1"/>
    <x v="1"/>
    <x v="6"/>
    <x v="2"/>
    <x v="0"/>
    <n v="8.1999999999999993"/>
    <x v="1"/>
    <n v="1.4"/>
    <n v="3.63"/>
    <n v="1.3"/>
    <x v="0"/>
    <x v="0"/>
    <x v="5"/>
    <n v="3"/>
    <n v="10"/>
    <x v="0"/>
  </r>
  <r>
    <x v="2"/>
    <x v="1"/>
    <x v="60"/>
    <x v="0"/>
    <x v="0"/>
    <n v="7.3"/>
    <x v="0"/>
    <n v="1.9"/>
    <n v="3.05"/>
    <n v="1.1000000000000001"/>
    <x v="0"/>
    <x v="2"/>
    <x v="7"/>
    <n v="8"/>
    <n v="1"/>
    <x v="0"/>
  </r>
  <r>
    <x v="1"/>
    <x v="0"/>
    <x v="55"/>
    <x v="2"/>
    <x v="1"/>
    <n v="7.4"/>
    <x v="0"/>
    <n v="2.6"/>
    <n v="2.25"/>
    <n v="0.5"/>
    <x v="1"/>
    <x v="0"/>
    <x v="9"/>
    <n v="4"/>
    <n v="8"/>
    <x v="0"/>
  </r>
  <r>
    <x v="2"/>
    <x v="0"/>
    <x v="33"/>
    <x v="2"/>
    <x v="0"/>
    <n v="4.7"/>
    <x v="0"/>
    <n v="2.4"/>
    <n v="2.77"/>
    <n v="1.3"/>
    <x v="0"/>
    <x v="1"/>
    <x v="8"/>
    <n v="6"/>
    <n v="9"/>
    <x v="0"/>
  </r>
  <r>
    <x v="6"/>
    <x v="0"/>
    <x v="27"/>
    <x v="2"/>
    <x v="2"/>
    <n v="8.6"/>
    <x v="1"/>
    <n v="0.7"/>
    <n v="2.99"/>
    <n v="1.5"/>
    <x v="0"/>
    <x v="0"/>
    <x v="3"/>
    <n v="8"/>
    <n v="3"/>
    <x v="0"/>
  </r>
  <r>
    <x v="1"/>
    <x v="1"/>
    <x v="3"/>
    <x v="0"/>
    <x v="2"/>
    <n v="8.3000000000000007"/>
    <x v="1"/>
    <n v="1.4"/>
    <n v="3.64"/>
    <n v="0.4"/>
    <x v="1"/>
    <x v="0"/>
    <x v="4"/>
    <n v="9"/>
    <n v="6"/>
    <x v="0"/>
  </r>
  <r>
    <x v="5"/>
    <x v="0"/>
    <x v="61"/>
    <x v="2"/>
    <x v="1"/>
    <n v="6.8"/>
    <x v="0"/>
    <n v="0.8"/>
    <n v="2.61"/>
    <n v="0.9"/>
    <x v="1"/>
    <x v="0"/>
    <x v="7"/>
    <n v="10"/>
    <n v="4"/>
    <x v="0"/>
  </r>
  <r>
    <x v="6"/>
    <x v="1"/>
    <x v="3"/>
    <x v="0"/>
    <x v="2"/>
    <n v="6.7"/>
    <x v="0"/>
    <n v="2"/>
    <n v="2.42"/>
    <n v="1.5"/>
    <x v="0"/>
    <x v="0"/>
    <x v="7"/>
    <n v="1"/>
    <n v="1"/>
    <x v="0"/>
  </r>
  <r>
    <x v="5"/>
    <x v="0"/>
    <x v="35"/>
    <x v="2"/>
    <x v="2"/>
    <n v="4.4000000000000004"/>
    <x v="0"/>
    <n v="1.5"/>
    <n v="2.7"/>
    <n v="0.8"/>
    <x v="1"/>
    <x v="1"/>
    <x v="0"/>
    <n v="10"/>
    <n v="8"/>
    <x v="0"/>
  </r>
  <r>
    <x v="0"/>
    <x v="0"/>
    <x v="49"/>
    <x v="2"/>
    <x v="0"/>
    <n v="6.3"/>
    <x v="0"/>
    <n v="1.6"/>
    <n v="2.7"/>
    <n v="0.1"/>
    <x v="1"/>
    <x v="2"/>
    <x v="9"/>
    <n v="2"/>
    <n v="7"/>
    <x v="0"/>
  </r>
  <r>
    <x v="2"/>
    <x v="0"/>
    <x v="29"/>
    <x v="2"/>
    <x v="1"/>
    <n v="6"/>
    <x v="0"/>
    <n v="2.1"/>
    <n v="2.39"/>
    <n v="1.8"/>
    <x v="0"/>
    <x v="1"/>
    <x v="5"/>
    <n v="8"/>
    <n v="7"/>
    <x v="0"/>
  </r>
  <r>
    <x v="0"/>
    <x v="0"/>
    <x v="41"/>
    <x v="0"/>
    <x v="2"/>
    <n v="7.6"/>
    <x v="0"/>
    <n v="2.8"/>
    <n v="3.1"/>
    <n v="0.7"/>
    <x v="1"/>
    <x v="2"/>
    <x v="3"/>
    <n v="1"/>
    <n v="2"/>
    <x v="0"/>
  </r>
  <r>
    <x v="1"/>
    <x v="0"/>
    <x v="4"/>
    <x v="2"/>
    <x v="2"/>
    <n v="8.6999999999999993"/>
    <x v="1"/>
    <n v="2"/>
    <n v="3.23"/>
    <n v="1.7"/>
    <x v="0"/>
    <x v="0"/>
    <x v="6"/>
    <n v="10"/>
    <n v="3"/>
    <x v="0"/>
  </r>
  <r>
    <x v="1"/>
    <x v="0"/>
    <x v="7"/>
    <x v="2"/>
    <x v="1"/>
    <n v="8.5"/>
    <x v="1"/>
    <n v="1.2"/>
    <n v="3.29"/>
    <n v="0.5"/>
    <x v="1"/>
    <x v="2"/>
    <x v="4"/>
    <n v="2"/>
    <n v="9"/>
    <x v="0"/>
  </r>
  <r>
    <x v="5"/>
    <x v="1"/>
    <x v="42"/>
    <x v="2"/>
    <x v="0"/>
    <n v="5.8"/>
    <x v="0"/>
    <n v="0.6"/>
    <n v="3.65"/>
    <n v="0.5"/>
    <x v="1"/>
    <x v="1"/>
    <x v="7"/>
    <n v="8"/>
    <n v="10"/>
    <x v="1"/>
  </r>
  <r>
    <x v="3"/>
    <x v="0"/>
    <x v="45"/>
    <x v="2"/>
    <x v="0"/>
    <n v="4.2"/>
    <x v="0"/>
    <n v="1.5"/>
    <n v="2.72"/>
    <n v="0.4"/>
    <x v="1"/>
    <x v="1"/>
    <x v="2"/>
    <n v="6"/>
    <n v="5"/>
    <x v="0"/>
  </r>
  <r>
    <x v="6"/>
    <x v="1"/>
    <x v="33"/>
    <x v="2"/>
    <x v="2"/>
    <n v="7.7"/>
    <x v="0"/>
    <n v="2.7"/>
    <n v="2.84"/>
    <n v="0.8"/>
    <x v="1"/>
    <x v="1"/>
    <x v="0"/>
    <n v="5"/>
    <n v="5"/>
    <x v="0"/>
  </r>
  <r>
    <x v="3"/>
    <x v="1"/>
    <x v="7"/>
    <x v="2"/>
    <x v="0"/>
    <n v="6.5"/>
    <x v="0"/>
    <n v="1.3"/>
    <n v="2.44"/>
    <n v="0.3"/>
    <x v="1"/>
    <x v="2"/>
    <x v="9"/>
    <n v="6"/>
    <n v="7"/>
    <x v="0"/>
  </r>
  <r>
    <x v="3"/>
    <x v="1"/>
    <x v="32"/>
    <x v="0"/>
    <x v="2"/>
    <n v="7.6"/>
    <x v="0"/>
    <n v="1.9"/>
    <n v="2.31"/>
    <n v="0.8"/>
    <x v="1"/>
    <x v="2"/>
    <x v="1"/>
    <n v="7"/>
    <n v="5"/>
    <x v="0"/>
  </r>
  <r>
    <x v="2"/>
    <x v="0"/>
    <x v="60"/>
    <x v="0"/>
    <x v="2"/>
    <n v="4.9000000000000004"/>
    <x v="0"/>
    <n v="0.6"/>
    <n v="2.56"/>
    <n v="0.8"/>
    <x v="1"/>
    <x v="0"/>
    <x v="6"/>
    <n v="1"/>
    <n v="9"/>
    <x v="0"/>
  </r>
  <r>
    <x v="2"/>
    <x v="0"/>
    <x v="65"/>
    <x v="1"/>
    <x v="2"/>
    <n v="7"/>
    <x v="0"/>
    <n v="0.8"/>
    <n v="3.39"/>
    <n v="0.9"/>
    <x v="1"/>
    <x v="1"/>
    <x v="9"/>
    <n v="7"/>
    <n v="10"/>
    <x v="0"/>
  </r>
  <r>
    <x v="4"/>
    <x v="0"/>
    <x v="14"/>
    <x v="1"/>
    <x v="2"/>
    <n v="5.6"/>
    <x v="0"/>
    <n v="2.9"/>
    <n v="2.57"/>
    <n v="0.6"/>
    <x v="1"/>
    <x v="1"/>
    <x v="5"/>
    <n v="8"/>
    <n v="4"/>
    <x v="0"/>
  </r>
  <r>
    <x v="2"/>
    <x v="0"/>
    <x v="32"/>
    <x v="0"/>
    <x v="2"/>
    <n v="8.5"/>
    <x v="1"/>
    <n v="1.5"/>
    <n v="3.54"/>
    <n v="1.2"/>
    <x v="0"/>
    <x v="0"/>
    <x v="3"/>
    <n v="3"/>
    <n v="7"/>
    <x v="0"/>
  </r>
  <r>
    <x v="0"/>
    <x v="0"/>
    <x v="66"/>
    <x v="2"/>
    <x v="2"/>
    <n v="6.2"/>
    <x v="0"/>
    <n v="1.2"/>
    <n v="3.21"/>
    <n v="1"/>
    <x v="1"/>
    <x v="0"/>
    <x v="3"/>
    <n v="10"/>
    <n v="6"/>
    <x v="0"/>
  </r>
  <r>
    <x v="3"/>
    <x v="0"/>
    <x v="17"/>
    <x v="1"/>
    <x v="2"/>
    <n v="7.4"/>
    <x v="0"/>
    <n v="2.7"/>
    <n v="2.92"/>
    <n v="1.4"/>
    <x v="0"/>
    <x v="0"/>
    <x v="3"/>
    <n v="7"/>
    <n v="4"/>
    <x v="0"/>
  </r>
  <r>
    <x v="5"/>
    <x v="1"/>
    <x v="5"/>
    <x v="2"/>
    <x v="1"/>
    <n v="8.9"/>
    <x v="1"/>
    <n v="1.2"/>
    <n v="3.33"/>
    <n v="1.5"/>
    <x v="0"/>
    <x v="1"/>
    <x v="6"/>
    <n v="4"/>
    <n v="10"/>
    <x v="0"/>
  </r>
  <r>
    <x v="2"/>
    <x v="0"/>
    <x v="29"/>
    <x v="2"/>
    <x v="1"/>
    <n v="5.6"/>
    <x v="0"/>
    <n v="1.6"/>
    <n v="2"/>
    <n v="1.3"/>
    <x v="0"/>
    <x v="0"/>
    <x v="3"/>
    <n v="8"/>
    <n v="4"/>
    <x v="0"/>
  </r>
  <r>
    <x v="4"/>
    <x v="1"/>
    <x v="31"/>
    <x v="2"/>
    <x v="2"/>
    <n v="4.2"/>
    <x v="0"/>
    <n v="1.1000000000000001"/>
    <n v="2.68"/>
    <n v="0.3"/>
    <x v="1"/>
    <x v="1"/>
    <x v="7"/>
    <n v="9"/>
    <n v="4"/>
    <x v="1"/>
  </r>
  <r>
    <x v="5"/>
    <x v="1"/>
    <x v="24"/>
    <x v="2"/>
    <x v="0"/>
    <n v="6.1"/>
    <x v="0"/>
    <n v="1.7"/>
    <n v="2.67"/>
    <n v="1.8"/>
    <x v="0"/>
    <x v="0"/>
    <x v="7"/>
    <n v="8"/>
    <n v="2"/>
    <x v="0"/>
  </r>
  <r>
    <x v="0"/>
    <x v="1"/>
    <x v="35"/>
    <x v="2"/>
    <x v="2"/>
    <n v="5.7"/>
    <x v="0"/>
    <n v="2.4"/>
    <n v="3.46"/>
    <n v="0.9"/>
    <x v="1"/>
    <x v="0"/>
    <x v="1"/>
    <n v="4"/>
    <n v="10"/>
    <x v="0"/>
  </r>
  <r>
    <x v="0"/>
    <x v="1"/>
    <x v="22"/>
    <x v="2"/>
    <x v="1"/>
    <n v="6.3"/>
    <x v="0"/>
    <n v="2.8"/>
    <n v="2.41"/>
    <n v="0.7"/>
    <x v="1"/>
    <x v="0"/>
    <x v="8"/>
    <n v="5"/>
    <n v="2"/>
    <x v="0"/>
  </r>
  <r>
    <x v="6"/>
    <x v="0"/>
    <x v="62"/>
    <x v="2"/>
    <x v="0"/>
    <n v="4.3"/>
    <x v="0"/>
    <n v="0.8"/>
    <n v="3.41"/>
    <n v="1.1000000000000001"/>
    <x v="0"/>
    <x v="2"/>
    <x v="6"/>
    <n v="3"/>
    <n v="2"/>
    <x v="0"/>
  </r>
  <r>
    <x v="1"/>
    <x v="1"/>
    <x v="3"/>
    <x v="0"/>
    <x v="0"/>
    <n v="5"/>
    <x v="0"/>
    <n v="2"/>
    <n v="2.68"/>
    <n v="1.2"/>
    <x v="0"/>
    <x v="0"/>
    <x v="2"/>
    <n v="6"/>
    <n v="8"/>
    <x v="0"/>
  </r>
  <r>
    <x v="3"/>
    <x v="1"/>
    <x v="28"/>
    <x v="2"/>
    <x v="1"/>
    <n v="5.3"/>
    <x v="0"/>
    <n v="3"/>
    <n v="3.25"/>
    <n v="0.2"/>
    <x v="1"/>
    <x v="0"/>
    <x v="2"/>
    <n v="8"/>
    <n v="7"/>
    <x v="0"/>
  </r>
  <r>
    <x v="2"/>
    <x v="0"/>
    <x v="32"/>
    <x v="0"/>
    <x v="0"/>
    <n v="5.8"/>
    <x v="0"/>
    <n v="2.9"/>
    <n v="3.93"/>
    <n v="0.9"/>
    <x v="1"/>
    <x v="2"/>
    <x v="4"/>
    <n v="2"/>
    <n v="9"/>
    <x v="0"/>
  </r>
  <r>
    <x v="2"/>
    <x v="1"/>
    <x v="36"/>
    <x v="2"/>
    <x v="1"/>
    <n v="4.5"/>
    <x v="0"/>
    <n v="0.9"/>
    <n v="3.71"/>
    <n v="0.1"/>
    <x v="1"/>
    <x v="0"/>
    <x v="2"/>
    <n v="6"/>
    <n v="4"/>
    <x v="0"/>
  </r>
  <r>
    <x v="1"/>
    <x v="0"/>
    <x v="20"/>
    <x v="2"/>
    <x v="1"/>
    <n v="8.4"/>
    <x v="1"/>
    <n v="0.6"/>
    <n v="3.08"/>
    <n v="0.4"/>
    <x v="1"/>
    <x v="2"/>
    <x v="8"/>
    <n v="4"/>
    <n v="6"/>
    <x v="0"/>
  </r>
  <r>
    <x v="2"/>
    <x v="1"/>
    <x v="8"/>
    <x v="0"/>
    <x v="1"/>
    <n v="8.1999999999999993"/>
    <x v="1"/>
    <n v="2.9"/>
    <n v="3.69"/>
    <n v="1"/>
    <x v="1"/>
    <x v="1"/>
    <x v="4"/>
    <n v="2"/>
    <n v="5"/>
    <x v="0"/>
  </r>
  <r>
    <x v="3"/>
    <x v="1"/>
    <x v="44"/>
    <x v="2"/>
    <x v="2"/>
    <n v="7.9"/>
    <x v="0"/>
    <n v="1.8"/>
    <n v="3.91"/>
    <n v="0.5"/>
    <x v="1"/>
    <x v="2"/>
    <x v="6"/>
    <n v="5"/>
    <n v="6"/>
    <x v="0"/>
  </r>
  <r>
    <x v="3"/>
    <x v="0"/>
    <x v="13"/>
    <x v="2"/>
    <x v="0"/>
    <n v="4.8"/>
    <x v="0"/>
    <n v="1"/>
    <n v="3.71"/>
    <n v="1.1000000000000001"/>
    <x v="0"/>
    <x v="2"/>
    <x v="5"/>
    <n v="7"/>
    <n v="4"/>
    <x v="0"/>
  </r>
  <r>
    <x v="1"/>
    <x v="0"/>
    <x v="13"/>
    <x v="2"/>
    <x v="0"/>
    <n v="6.5"/>
    <x v="0"/>
    <n v="1.1000000000000001"/>
    <n v="3.65"/>
    <n v="1.1000000000000001"/>
    <x v="0"/>
    <x v="0"/>
    <x v="5"/>
    <n v="9"/>
    <n v="10"/>
    <x v="0"/>
  </r>
  <r>
    <x v="3"/>
    <x v="1"/>
    <x v="47"/>
    <x v="1"/>
    <x v="0"/>
    <n v="5.5"/>
    <x v="0"/>
    <n v="1.6"/>
    <n v="3.29"/>
    <n v="1.3"/>
    <x v="0"/>
    <x v="2"/>
    <x v="4"/>
    <n v="5"/>
    <n v="9"/>
    <x v="0"/>
  </r>
  <r>
    <x v="0"/>
    <x v="1"/>
    <x v="47"/>
    <x v="1"/>
    <x v="0"/>
    <n v="7.6"/>
    <x v="0"/>
    <n v="1.2"/>
    <n v="2.84"/>
    <n v="1.1000000000000001"/>
    <x v="0"/>
    <x v="1"/>
    <x v="7"/>
    <n v="1"/>
    <n v="3"/>
    <x v="0"/>
  </r>
  <r>
    <x v="3"/>
    <x v="1"/>
    <x v="3"/>
    <x v="0"/>
    <x v="2"/>
    <n v="8.4"/>
    <x v="1"/>
    <n v="1.9"/>
    <n v="3.73"/>
    <n v="0.8"/>
    <x v="1"/>
    <x v="1"/>
    <x v="8"/>
    <n v="9"/>
    <n v="4"/>
    <x v="0"/>
  </r>
  <r>
    <x v="3"/>
    <x v="0"/>
    <x v="29"/>
    <x v="2"/>
    <x v="2"/>
    <n v="4.3"/>
    <x v="0"/>
    <n v="2.2000000000000002"/>
    <n v="2.5"/>
    <n v="0"/>
    <x v="2"/>
    <x v="2"/>
    <x v="6"/>
    <n v="1"/>
    <n v="4"/>
    <x v="0"/>
  </r>
  <r>
    <x v="4"/>
    <x v="0"/>
    <x v="22"/>
    <x v="2"/>
    <x v="2"/>
    <n v="6.8"/>
    <x v="0"/>
    <n v="1"/>
    <n v="2.86"/>
    <n v="1.5"/>
    <x v="0"/>
    <x v="1"/>
    <x v="8"/>
    <n v="10"/>
    <n v="8"/>
    <x v="0"/>
  </r>
  <r>
    <x v="3"/>
    <x v="0"/>
    <x v="45"/>
    <x v="2"/>
    <x v="1"/>
    <n v="5.2"/>
    <x v="0"/>
    <n v="0.6"/>
    <n v="3.65"/>
    <n v="1.5"/>
    <x v="0"/>
    <x v="0"/>
    <x v="9"/>
    <n v="9"/>
    <n v="10"/>
    <x v="1"/>
  </r>
  <r>
    <x v="2"/>
    <x v="1"/>
    <x v="35"/>
    <x v="2"/>
    <x v="2"/>
    <n v="8.5"/>
    <x v="1"/>
    <n v="2.2000000000000002"/>
    <n v="2.11"/>
    <n v="1.3"/>
    <x v="0"/>
    <x v="2"/>
    <x v="1"/>
    <n v="8"/>
    <n v="2"/>
    <x v="0"/>
  </r>
  <r>
    <x v="4"/>
    <x v="1"/>
    <x v="58"/>
    <x v="2"/>
    <x v="0"/>
    <n v="5"/>
    <x v="0"/>
    <n v="2"/>
    <n v="2.4500000000000002"/>
    <n v="1.2"/>
    <x v="0"/>
    <x v="2"/>
    <x v="2"/>
    <n v="10"/>
    <n v="7"/>
    <x v="0"/>
  </r>
  <r>
    <x v="6"/>
    <x v="1"/>
    <x v="7"/>
    <x v="2"/>
    <x v="2"/>
    <n v="7.4"/>
    <x v="0"/>
    <n v="0.9"/>
    <n v="2.5299999999999998"/>
    <n v="0.2"/>
    <x v="1"/>
    <x v="2"/>
    <x v="6"/>
    <n v="10"/>
    <n v="6"/>
    <x v="0"/>
  </r>
  <r>
    <x v="1"/>
    <x v="0"/>
    <x v="69"/>
    <x v="2"/>
    <x v="1"/>
    <n v="5.0999999999999996"/>
    <x v="0"/>
    <n v="2.7"/>
    <n v="2.56"/>
    <n v="1.4"/>
    <x v="0"/>
    <x v="0"/>
    <x v="0"/>
    <n v="3"/>
    <n v="7"/>
    <x v="0"/>
  </r>
  <r>
    <x v="3"/>
    <x v="0"/>
    <x v="55"/>
    <x v="2"/>
    <x v="2"/>
    <n v="8.3000000000000007"/>
    <x v="1"/>
    <n v="2.6"/>
    <n v="3.19"/>
    <n v="2"/>
    <x v="0"/>
    <x v="2"/>
    <x v="2"/>
    <n v="2"/>
    <n v="2"/>
    <x v="0"/>
  </r>
  <r>
    <x v="2"/>
    <x v="0"/>
    <x v="12"/>
    <x v="2"/>
    <x v="1"/>
    <n v="8.6999999999999993"/>
    <x v="1"/>
    <n v="2"/>
    <n v="3.14"/>
    <n v="1.7"/>
    <x v="0"/>
    <x v="0"/>
    <x v="2"/>
    <n v="9"/>
    <n v="8"/>
    <x v="0"/>
  </r>
  <r>
    <x v="6"/>
    <x v="1"/>
    <x v="4"/>
    <x v="2"/>
    <x v="1"/>
    <n v="8"/>
    <x v="1"/>
    <n v="1.1000000000000001"/>
    <n v="2.37"/>
    <n v="0.2"/>
    <x v="1"/>
    <x v="0"/>
    <x v="5"/>
    <n v="10"/>
    <n v="6"/>
    <x v="0"/>
  </r>
  <r>
    <x v="2"/>
    <x v="1"/>
    <x v="6"/>
    <x v="2"/>
    <x v="0"/>
    <n v="6.7"/>
    <x v="0"/>
    <n v="0.6"/>
    <n v="2.5099999999999998"/>
    <n v="1.5"/>
    <x v="0"/>
    <x v="1"/>
    <x v="8"/>
    <n v="8"/>
    <n v="5"/>
    <x v="0"/>
  </r>
  <r>
    <x v="5"/>
    <x v="0"/>
    <x v="20"/>
    <x v="2"/>
    <x v="1"/>
    <n v="6.8"/>
    <x v="0"/>
    <n v="0.7"/>
    <n v="3.9"/>
    <n v="1.5"/>
    <x v="0"/>
    <x v="0"/>
    <x v="5"/>
    <n v="8"/>
    <n v="3"/>
    <x v="0"/>
  </r>
  <r>
    <x v="2"/>
    <x v="0"/>
    <x v="55"/>
    <x v="2"/>
    <x v="0"/>
    <n v="4.7"/>
    <x v="0"/>
    <n v="1.2"/>
    <n v="3.7"/>
    <n v="1.4"/>
    <x v="0"/>
    <x v="1"/>
    <x v="0"/>
    <n v="2"/>
    <n v="5"/>
    <x v="0"/>
  </r>
  <r>
    <x v="5"/>
    <x v="1"/>
    <x v="54"/>
    <x v="2"/>
    <x v="2"/>
    <n v="4.0999999999999996"/>
    <x v="0"/>
    <n v="2.4"/>
    <n v="2.61"/>
    <n v="1.1000000000000001"/>
    <x v="0"/>
    <x v="1"/>
    <x v="2"/>
    <n v="6"/>
    <n v="3"/>
    <x v="0"/>
  </r>
  <r>
    <x v="3"/>
    <x v="0"/>
    <x v="67"/>
    <x v="2"/>
    <x v="2"/>
    <n v="4.5"/>
    <x v="0"/>
    <n v="1.3"/>
    <n v="2.63"/>
    <n v="1.7"/>
    <x v="0"/>
    <x v="0"/>
    <x v="7"/>
    <n v="2"/>
    <n v="6"/>
    <x v="0"/>
  </r>
  <r>
    <x v="4"/>
    <x v="0"/>
    <x v="39"/>
    <x v="2"/>
    <x v="1"/>
    <n v="8.4"/>
    <x v="1"/>
    <n v="2.1"/>
    <n v="2.69"/>
    <n v="0.2"/>
    <x v="1"/>
    <x v="0"/>
    <x v="2"/>
    <n v="10"/>
    <n v="8"/>
    <x v="0"/>
  </r>
  <r>
    <x v="1"/>
    <x v="1"/>
    <x v="41"/>
    <x v="0"/>
    <x v="1"/>
    <n v="4.5"/>
    <x v="0"/>
    <n v="2.7"/>
    <n v="2.41"/>
    <n v="1"/>
    <x v="1"/>
    <x v="1"/>
    <x v="3"/>
    <n v="2"/>
    <n v="6"/>
    <x v="0"/>
  </r>
  <r>
    <x v="0"/>
    <x v="0"/>
    <x v="20"/>
    <x v="2"/>
    <x v="0"/>
    <n v="6.8"/>
    <x v="0"/>
    <n v="2.9"/>
    <n v="2.1800000000000002"/>
    <n v="0.8"/>
    <x v="1"/>
    <x v="2"/>
    <x v="7"/>
    <n v="1"/>
    <n v="6"/>
    <x v="0"/>
  </r>
  <r>
    <x v="0"/>
    <x v="1"/>
    <x v="59"/>
    <x v="0"/>
    <x v="0"/>
    <n v="6.9"/>
    <x v="0"/>
    <n v="2.1"/>
    <n v="3.42"/>
    <n v="1.1000000000000001"/>
    <x v="0"/>
    <x v="1"/>
    <x v="7"/>
    <n v="3"/>
    <n v="6"/>
    <x v="0"/>
  </r>
  <r>
    <x v="5"/>
    <x v="1"/>
    <x v="56"/>
    <x v="2"/>
    <x v="2"/>
    <n v="4.5999999999999996"/>
    <x v="0"/>
    <n v="2"/>
    <n v="2.5499999999999998"/>
    <n v="1.8"/>
    <x v="0"/>
    <x v="1"/>
    <x v="5"/>
    <n v="4"/>
    <n v="4"/>
    <x v="0"/>
  </r>
  <r>
    <x v="4"/>
    <x v="1"/>
    <x v="32"/>
    <x v="0"/>
    <x v="2"/>
    <n v="7.3"/>
    <x v="0"/>
    <n v="2.8"/>
    <n v="3.3"/>
    <n v="0.4"/>
    <x v="1"/>
    <x v="0"/>
    <x v="2"/>
    <n v="8"/>
    <n v="1"/>
    <x v="0"/>
  </r>
  <r>
    <x v="2"/>
    <x v="1"/>
    <x v="44"/>
    <x v="2"/>
    <x v="0"/>
    <n v="6.5"/>
    <x v="0"/>
    <n v="1.5"/>
    <n v="3.8"/>
    <n v="0.2"/>
    <x v="1"/>
    <x v="1"/>
    <x v="1"/>
    <n v="6"/>
    <n v="1"/>
    <x v="0"/>
  </r>
  <r>
    <x v="2"/>
    <x v="0"/>
    <x v="45"/>
    <x v="2"/>
    <x v="2"/>
    <n v="4.9000000000000004"/>
    <x v="0"/>
    <n v="1.5"/>
    <n v="3.4"/>
    <n v="0"/>
    <x v="2"/>
    <x v="2"/>
    <x v="0"/>
    <n v="2"/>
    <n v="1"/>
    <x v="0"/>
  </r>
  <r>
    <x v="3"/>
    <x v="0"/>
    <x v="42"/>
    <x v="2"/>
    <x v="0"/>
    <n v="6.2"/>
    <x v="0"/>
    <n v="0.6"/>
    <n v="2.37"/>
    <n v="0.2"/>
    <x v="1"/>
    <x v="0"/>
    <x v="3"/>
    <n v="1"/>
    <n v="4"/>
    <x v="0"/>
  </r>
  <r>
    <x v="1"/>
    <x v="1"/>
    <x v="58"/>
    <x v="2"/>
    <x v="0"/>
    <n v="5.5"/>
    <x v="0"/>
    <n v="2.1"/>
    <n v="3.08"/>
    <n v="0.7"/>
    <x v="1"/>
    <x v="0"/>
    <x v="8"/>
    <n v="3"/>
    <n v="5"/>
    <x v="0"/>
  </r>
  <r>
    <x v="4"/>
    <x v="0"/>
    <x v="2"/>
    <x v="1"/>
    <x v="0"/>
    <n v="4.5"/>
    <x v="0"/>
    <n v="2.2999999999999998"/>
    <n v="2.2799999999999998"/>
    <n v="1"/>
    <x v="1"/>
    <x v="0"/>
    <x v="0"/>
    <n v="7"/>
    <n v="8"/>
    <x v="0"/>
  </r>
  <r>
    <x v="3"/>
    <x v="0"/>
    <x v="10"/>
    <x v="2"/>
    <x v="2"/>
    <n v="6.4"/>
    <x v="0"/>
    <n v="1.4"/>
    <n v="3.34"/>
    <n v="0.9"/>
    <x v="1"/>
    <x v="1"/>
    <x v="1"/>
    <n v="9"/>
    <n v="9"/>
    <x v="0"/>
  </r>
  <r>
    <x v="3"/>
    <x v="0"/>
    <x v="13"/>
    <x v="2"/>
    <x v="0"/>
    <n v="5.5"/>
    <x v="0"/>
    <n v="1.2"/>
    <n v="2.4900000000000002"/>
    <n v="1.9"/>
    <x v="0"/>
    <x v="0"/>
    <x v="2"/>
    <n v="4"/>
    <n v="9"/>
    <x v="0"/>
  </r>
  <r>
    <x v="4"/>
    <x v="1"/>
    <x v="52"/>
    <x v="2"/>
    <x v="2"/>
    <n v="6.7"/>
    <x v="0"/>
    <n v="2.5"/>
    <n v="2.98"/>
    <n v="0.1"/>
    <x v="1"/>
    <x v="1"/>
    <x v="8"/>
    <n v="7"/>
    <n v="7"/>
    <x v="0"/>
  </r>
  <r>
    <x v="2"/>
    <x v="1"/>
    <x v="20"/>
    <x v="2"/>
    <x v="0"/>
    <n v="6.6"/>
    <x v="0"/>
    <n v="0.6"/>
    <n v="3.04"/>
    <n v="0.1"/>
    <x v="1"/>
    <x v="1"/>
    <x v="3"/>
    <n v="7"/>
    <n v="1"/>
    <x v="0"/>
  </r>
  <r>
    <x v="5"/>
    <x v="0"/>
    <x v="28"/>
    <x v="2"/>
    <x v="2"/>
    <n v="5.3"/>
    <x v="0"/>
    <n v="1.3"/>
    <n v="3.76"/>
    <n v="0.5"/>
    <x v="1"/>
    <x v="2"/>
    <x v="3"/>
    <n v="8"/>
    <n v="8"/>
    <x v="0"/>
  </r>
  <r>
    <x v="4"/>
    <x v="0"/>
    <x v="51"/>
    <x v="0"/>
    <x v="2"/>
    <n v="6.6"/>
    <x v="0"/>
    <n v="1.6"/>
    <n v="4"/>
    <n v="1.9"/>
    <x v="0"/>
    <x v="1"/>
    <x v="3"/>
    <n v="3"/>
    <n v="9"/>
    <x v="0"/>
  </r>
  <r>
    <x v="1"/>
    <x v="0"/>
    <x v="38"/>
    <x v="0"/>
    <x v="1"/>
    <n v="8.4"/>
    <x v="1"/>
    <n v="1.8"/>
    <n v="2.93"/>
    <n v="1.3"/>
    <x v="0"/>
    <x v="2"/>
    <x v="2"/>
    <n v="6"/>
    <n v="8"/>
    <x v="0"/>
  </r>
  <r>
    <x v="5"/>
    <x v="0"/>
    <x v="40"/>
    <x v="2"/>
    <x v="1"/>
    <n v="7.5"/>
    <x v="0"/>
    <n v="2.1"/>
    <n v="3.24"/>
    <n v="0.9"/>
    <x v="1"/>
    <x v="0"/>
    <x v="6"/>
    <n v="3"/>
    <n v="2"/>
    <x v="0"/>
  </r>
  <r>
    <x v="1"/>
    <x v="1"/>
    <x v="41"/>
    <x v="0"/>
    <x v="1"/>
    <n v="8.6"/>
    <x v="1"/>
    <n v="0.9"/>
    <n v="2.25"/>
    <n v="1.6"/>
    <x v="0"/>
    <x v="1"/>
    <x v="8"/>
    <n v="8"/>
    <n v="4"/>
    <x v="0"/>
  </r>
  <r>
    <x v="4"/>
    <x v="0"/>
    <x v="37"/>
    <x v="2"/>
    <x v="1"/>
    <n v="7.5"/>
    <x v="0"/>
    <n v="2.2000000000000002"/>
    <n v="3.65"/>
    <n v="1.4"/>
    <x v="0"/>
    <x v="2"/>
    <x v="6"/>
    <n v="4"/>
    <n v="8"/>
    <x v="0"/>
  </r>
  <r>
    <x v="2"/>
    <x v="1"/>
    <x v="60"/>
    <x v="0"/>
    <x v="0"/>
    <n v="7.3"/>
    <x v="0"/>
    <n v="2.9"/>
    <n v="2.99"/>
    <n v="1.2"/>
    <x v="0"/>
    <x v="1"/>
    <x v="6"/>
    <n v="8"/>
    <n v="10"/>
    <x v="0"/>
  </r>
  <r>
    <x v="1"/>
    <x v="1"/>
    <x v="57"/>
    <x v="2"/>
    <x v="0"/>
    <n v="7.4"/>
    <x v="0"/>
    <n v="2.8"/>
    <n v="3.28"/>
    <n v="1.5"/>
    <x v="0"/>
    <x v="2"/>
    <x v="9"/>
    <n v="5"/>
    <n v="4"/>
    <x v="0"/>
  </r>
  <r>
    <x v="1"/>
    <x v="0"/>
    <x v="28"/>
    <x v="2"/>
    <x v="2"/>
    <n v="4.5999999999999996"/>
    <x v="0"/>
    <n v="2.5"/>
    <n v="2.4"/>
    <n v="1"/>
    <x v="1"/>
    <x v="1"/>
    <x v="7"/>
    <n v="10"/>
    <n v="8"/>
    <x v="0"/>
  </r>
  <r>
    <x v="4"/>
    <x v="1"/>
    <x v="59"/>
    <x v="0"/>
    <x v="2"/>
    <n v="8.9"/>
    <x v="1"/>
    <n v="0.7"/>
    <n v="2.79"/>
    <n v="0.4"/>
    <x v="1"/>
    <x v="2"/>
    <x v="0"/>
    <n v="10"/>
    <n v="8"/>
    <x v="0"/>
  </r>
  <r>
    <x v="5"/>
    <x v="1"/>
    <x v="13"/>
    <x v="2"/>
    <x v="1"/>
    <n v="8.8000000000000007"/>
    <x v="1"/>
    <n v="1.2"/>
    <n v="2.3199999999999998"/>
    <n v="0.5"/>
    <x v="1"/>
    <x v="0"/>
    <x v="0"/>
    <n v="4"/>
    <n v="5"/>
    <x v="0"/>
  </r>
  <r>
    <x v="3"/>
    <x v="1"/>
    <x v="58"/>
    <x v="2"/>
    <x v="1"/>
    <n v="6.6"/>
    <x v="0"/>
    <n v="0.9"/>
    <n v="2.69"/>
    <n v="1.8"/>
    <x v="0"/>
    <x v="2"/>
    <x v="2"/>
    <n v="2"/>
    <n v="2"/>
    <x v="0"/>
  </r>
  <r>
    <x v="1"/>
    <x v="1"/>
    <x v="8"/>
    <x v="0"/>
    <x v="0"/>
    <n v="6.4"/>
    <x v="0"/>
    <n v="2.9"/>
    <n v="3.82"/>
    <n v="1"/>
    <x v="1"/>
    <x v="2"/>
    <x v="5"/>
    <n v="4"/>
    <n v="5"/>
    <x v="0"/>
  </r>
  <r>
    <x v="3"/>
    <x v="1"/>
    <x v="46"/>
    <x v="2"/>
    <x v="2"/>
    <n v="5.9"/>
    <x v="0"/>
    <n v="2"/>
    <n v="2.97"/>
    <n v="0.6"/>
    <x v="1"/>
    <x v="0"/>
    <x v="8"/>
    <n v="3"/>
    <n v="3"/>
    <x v="0"/>
  </r>
  <r>
    <x v="0"/>
    <x v="1"/>
    <x v="23"/>
    <x v="2"/>
    <x v="0"/>
    <n v="4.7"/>
    <x v="0"/>
    <n v="1.1000000000000001"/>
    <n v="2.5099999999999998"/>
    <n v="0"/>
    <x v="2"/>
    <x v="1"/>
    <x v="0"/>
    <n v="9"/>
    <n v="4"/>
    <x v="0"/>
  </r>
  <r>
    <x v="0"/>
    <x v="1"/>
    <x v="57"/>
    <x v="2"/>
    <x v="1"/>
    <n v="5.0999999999999996"/>
    <x v="0"/>
    <n v="2.8"/>
    <n v="2.2200000000000002"/>
    <n v="0.5"/>
    <x v="1"/>
    <x v="1"/>
    <x v="5"/>
    <n v="4"/>
    <n v="1"/>
    <x v="0"/>
  </r>
  <r>
    <x v="6"/>
    <x v="0"/>
    <x v="35"/>
    <x v="2"/>
    <x v="1"/>
    <n v="5.8"/>
    <x v="0"/>
    <n v="1.2"/>
    <n v="2.44"/>
    <n v="1.5"/>
    <x v="0"/>
    <x v="2"/>
    <x v="6"/>
    <n v="1"/>
    <n v="8"/>
    <x v="0"/>
  </r>
  <r>
    <x v="6"/>
    <x v="0"/>
    <x v="52"/>
    <x v="2"/>
    <x v="0"/>
    <n v="6.5"/>
    <x v="0"/>
    <n v="1.5"/>
    <n v="2.0499999999999998"/>
    <n v="0.5"/>
    <x v="1"/>
    <x v="0"/>
    <x v="3"/>
    <n v="9"/>
    <n v="4"/>
    <x v="0"/>
  </r>
  <r>
    <x v="0"/>
    <x v="0"/>
    <x v="57"/>
    <x v="2"/>
    <x v="0"/>
    <n v="8.8000000000000007"/>
    <x v="1"/>
    <n v="2.2999999999999998"/>
    <n v="2.73"/>
    <n v="0.3"/>
    <x v="1"/>
    <x v="2"/>
    <x v="8"/>
    <n v="2"/>
    <n v="2"/>
    <x v="0"/>
  </r>
  <r>
    <x v="2"/>
    <x v="1"/>
    <x v="15"/>
    <x v="2"/>
    <x v="1"/>
    <n v="4.2"/>
    <x v="0"/>
    <n v="0.8"/>
    <n v="2.2799999999999998"/>
    <n v="1.6"/>
    <x v="0"/>
    <x v="2"/>
    <x v="6"/>
    <n v="9"/>
    <n v="6"/>
    <x v="0"/>
  </r>
  <r>
    <x v="3"/>
    <x v="0"/>
    <x v="53"/>
    <x v="0"/>
    <x v="2"/>
    <n v="4.2"/>
    <x v="0"/>
    <n v="2.1"/>
    <n v="3.42"/>
    <n v="0"/>
    <x v="2"/>
    <x v="0"/>
    <x v="7"/>
    <n v="7"/>
    <n v="9"/>
    <x v="1"/>
  </r>
  <r>
    <x v="1"/>
    <x v="1"/>
    <x v="56"/>
    <x v="2"/>
    <x v="2"/>
    <n v="4.4000000000000004"/>
    <x v="0"/>
    <n v="2.2000000000000002"/>
    <n v="2.4700000000000002"/>
    <n v="0.7"/>
    <x v="1"/>
    <x v="1"/>
    <x v="8"/>
    <n v="5"/>
    <n v="6"/>
    <x v="0"/>
  </r>
  <r>
    <x v="0"/>
    <x v="1"/>
    <x v="69"/>
    <x v="2"/>
    <x v="2"/>
    <n v="5.7"/>
    <x v="0"/>
    <n v="2.2999999999999998"/>
    <n v="3.05"/>
    <n v="1.3"/>
    <x v="0"/>
    <x v="2"/>
    <x v="9"/>
    <n v="8"/>
    <n v="5"/>
    <x v="1"/>
  </r>
  <r>
    <x v="3"/>
    <x v="1"/>
    <x v="12"/>
    <x v="2"/>
    <x v="0"/>
    <n v="7.2"/>
    <x v="0"/>
    <n v="2.4"/>
    <n v="2.1800000000000002"/>
    <n v="1.6"/>
    <x v="0"/>
    <x v="2"/>
    <x v="5"/>
    <n v="1"/>
    <n v="7"/>
    <x v="0"/>
  </r>
  <r>
    <x v="3"/>
    <x v="1"/>
    <x v="27"/>
    <x v="2"/>
    <x v="1"/>
    <n v="6.3"/>
    <x v="0"/>
    <n v="1.5"/>
    <n v="2.67"/>
    <n v="1.1000000000000001"/>
    <x v="0"/>
    <x v="1"/>
    <x v="4"/>
    <n v="2"/>
    <n v="5"/>
    <x v="0"/>
  </r>
  <r>
    <x v="5"/>
    <x v="1"/>
    <x v="41"/>
    <x v="0"/>
    <x v="2"/>
    <n v="4"/>
    <x v="0"/>
    <n v="0.5"/>
    <n v="3.72"/>
    <n v="1.1000000000000001"/>
    <x v="0"/>
    <x v="2"/>
    <x v="6"/>
    <n v="5"/>
    <n v="7"/>
    <x v="0"/>
  </r>
  <r>
    <x v="2"/>
    <x v="0"/>
    <x v="67"/>
    <x v="2"/>
    <x v="1"/>
    <n v="7.1"/>
    <x v="0"/>
    <n v="1.1000000000000001"/>
    <n v="2.5"/>
    <n v="1.5"/>
    <x v="0"/>
    <x v="0"/>
    <x v="0"/>
    <n v="1"/>
    <n v="2"/>
    <x v="0"/>
  </r>
  <r>
    <x v="3"/>
    <x v="1"/>
    <x v="32"/>
    <x v="0"/>
    <x v="0"/>
    <n v="4.0999999999999996"/>
    <x v="0"/>
    <n v="2.1"/>
    <n v="2.87"/>
    <n v="0.4"/>
    <x v="1"/>
    <x v="0"/>
    <x v="7"/>
    <n v="10"/>
    <n v="1"/>
    <x v="1"/>
  </r>
  <r>
    <x v="2"/>
    <x v="0"/>
    <x v="26"/>
    <x v="2"/>
    <x v="0"/>
    <n v="7.5"/>
    <x v="0"/>
    <n v="1.5"/>
    <n v="3.23"/>
    <n v="1.4"/>
    <x v="0"/>
    <x v="0"/>
    <x v="5"/>
    <n v="7"/>
    <n v="3"/>
    <x v="0"/>
  </r>
  <r>
    <x v="4"/>
    <x v="0"/>
    <x v="25"/>
    <x v="1"/>
    <x v="0"/>
    <n v="8.6"/>
    <x v="1"/>
    <n v="2.6"/>
    <n v="3.53"/>
    <n v="0.1"/>
    <x v="1"/>
    <x v="2"/>
    <x v="1"/>
    <n v="8"/>
    <n v="10"/>
    <x v="0"/>
  </r>
  <r>
    <x v="0"/>
    <x v="0"/>
    <x v="6"/>
    <x v="2"/>
    <x v="1"/>
    <n v="4.9000000000000004"/>
    <x v="0"/>
    <n v="2.7"/>
    <n v="2.2999999999999998"/>
    <n v="0.5"/>
    <x v="1"/>
    <x v="1"/>
    <x v="9"/>
    <n v="8"/>
    <n v="6"/>
    <x v="0"/>
  </r>
  <r>
    <x v="4"/>
    <x v="1"/>
    <x v="30"/>
    <x v="2"/>
    <x v="2"/>
    <n v="4.7"/>
    <x v="0"/>
    <n v="2.4"/>
    <n v="2.2999999999999998"/>
    <n v="0.9"/>
    <x v="1"/>
    <x v="2"/>
    <x v="4"/>
    <n v="1"/>
    <n v="6"/>
    <x v="0"/>
  </r>
  <r>
    <x v="5"/>
    <x v="1"/>
    <x v="11"/>
    <x v="2"/>
    <x v="1"/>
    <n v="7.1"/>
    <x v="0"/>
    <n v="2.9"/>
    <n v="3.26"/>
    <n v="0.6"/>
    <x v="1"/>
    <x v="0"/>
    <x v="4"/>
    <n v="10"/>
    <n v="4"/>
    <x v="0"/>
  </r>
  <r>
    <x v="4"/>
    <x v="1"/>
    <x v="24"/>
    <x v="2"/>
    <x v="2"/>
    <n v="8.1"/>
    <x v="1"/>
    <n v="2"/>
    <n v="3.59"/>
    <n v="1.6"/>
    <x v="0"/>
    <x v="0"/>
    <x v="8"/>
    <n v="4"/>
    <n v="3"/>
    <x v="0"/>
  </r>
  <r>
    <x v="6"/>
    <x v="0"/>
    <x v="6"/>
    <x v="2"/>
    <x v="0"/>
    <n v="4.2"/>
    <x v="0"/>
    <n v="0.9"/>
    <n v="2.75"/>
    <n v="1"/>
    <x v="1"/>
    <x v="1"/>
    <x v="5"/>
    <n v="4"/>
    <n v="8"/>
    <x v="0"/>
  </r>
  <r>
    <x v="6"/>
    <x v="0"/>
    <x v="25"/>
    <x v="1"/>
    <x v="1"/>
    <n v="5"/>
    <x v="0"/>
    <n v="2.7"/>
    <n v="2.31"/>
    <n v="1.9"/>
    <x v="0"/>
    <x v="0"/>
    <x v="1"/>
    <n v="9"/>
    <n v="5"/>
    <x v="0"/>
  </r>
  <r>
    <x v="4"/>
    <x v="0"/>
    <x v="20"/>
    <x v="2"/>
    <x v="2"/>
    <n v="8.1999999999999993"/>
    <x v="1"/>
    <n v="1.9"/>
    <n v="3.87"/>
    <n v="1.9"/>
    <x v="0"/>
    <x v="0"/>
    <x v="0"/>
    <n v="9"/>
    <n v="8"/>
    <x v="0"/>
  </r>
  <r>
    <x v="1"/>
    <x v="1"/>
    <x v="3"/>
    <x v="0"/>
    <x v="2"/>
    <n v="4.4000000000000004"/>
    <x v="0"/>
    <n v="1.4"/>
    <n v="3.78"/>
    <n v="1.1000000000000001"/>
    <x v="0"/>
    <x v="0"/>
    <x v="8"/>
    <n v="7"/>
    <n v="5"/>
    <x v="1"/>
  </r>
  <r>
    <x v="4"/>
    <x v="1"/>
    <x v="21"/>
    <x v="2"/>
    <x v="0"/>
    <n v="8.6999999999999993"/>
    <x v="1"/>
    <n v="0.6"/>
    <n v="2.76"/>
    <n v="1.9"/>
    <x v="0"/>
    <x v="1"/>
    <x v="6"/>
    <n v="8"/>
    <n v="7"/>
    <x v="0"/>
  </r>
  <r>
    <x v="5"/>
    <x v="0"/>
    <x v="60"/>
    <x v="0"/>
    <x v="2"/>
    <n v="6.1"/>
    <x v="0"/>
    <n v="0.8"/>
    <n v="3.09"/>
    <n v="1.3"/>
    <x v="0"/>
    <x v="0"/>
    <x v="1"/>
    <n v="4"/>
    <n v="4"/>
    <x v="0"/>
  </r>
  <r>
    <x v="5"/>
    <x v="1"/>
    <x v="60"/>
    <x v="0"/>
    <x v="1"/>
    <n v="7.6"/>
    <x v="0"/>
    <n v="2.4"/>
    <n v="2.2400000000000002"/>
    <n v="1.1000000000000001"/>
    <x v="0"/>
    <x v="2"/>
    <x v="2"/>
    <n v="5"/>
    <n v="5"/>
    <x v="0"/>
  </r>
  <r>
    <x v="2"/>
    <x v="1"/>
    <x v="18"/>
    <x v="2"/>
    <x v="2"/>
    <n v="4.7"/>
    <x v="0"/>
    <n v="0.5"/>
    <n v="2.91"/>
    <n v="2"/>
    <x v="0"/>
    <x v="1"/>
    <x v="0"/>
    <n v="8"/>
    <n v="1"/>
    <x v="0"/>
  </r>
  <r>
    <x v="4"/>
    <x v="1"/>
    <x v="21"/>
    <x v="2"/>
    <x v="0"/>
    <n v="4.2"/>
    <x v="0"/>
    <n v="0.9"/>
    <n v="3.84"/>
    <n v="1.3"/>
    <x v="0"/>
    <x v="1"/>
    <x v="4"/>
    <n v="6"/>
    <n v="10"/>
    <x v="0"/>
  </r>
  <r>
    <x v="4"/>
    <x v="0"/>
    <x v="27"/>
    <x v="2"/>
    <x v="0"/>
    <n v="4.3"/>
    <x v="0"/>
    <n v="1.1000000000000001"/>
    <n v="2.2200000000000002"/>
    <n v="0.1"/>
    <x v="1"/>
    <x v="1"/>
    <x v="9"/>
    <n v="2"/>
    <n v="2"/>
    <x v="0"/>
  </r>
  <r>
    <x v="3"/>
    <x v="0"/>
    <x v="55"/>
    <x v="2"/>
    <x v="1"/>
    <n v="7.1"/>
    <x v="0"/>
    <n v="0.5"/>
    <n v="3.08"/>
    <n v="0.2"/>
    <x v="1"/>
    <x v="2"/>
    <x v="0"/>
    <n v="9"/>
    <n v="7"/>
    <x v="0"/>
  </r>
  <r>
    <x v="5"/>
    <x v="0"/>
    <x v="68"/>
    <x v="2"/>
    <x v="0"/>
    <n v="7.6"/>
    <x v="0"/>
    <n v="1.2"/>
    <n v="3.2"/>
    <n v="1"/>
    <x v="1"/>
    <x v="2"/>
    <x v="6"/>
    <n v="8"/>
    <n v="6"/>
    <x v="0"/>
  </r>
  <r>
    <x v="6"/>
    <x v="0"/>
    <x v="63"/>
    <x v="1"/>
    <x v="2"/>
    <n v="8.6"/>
    <x v="1"/>
    <n v="2.4"/>
    <n v="3.31"/>
    <n v="0.7"/>
    <x v="1"/>
    <x v="0"/>
    <x v="0"/>
    <n v="6"/>
    <n v="2"/>
    <x v="0"/>
  </r>
  <r>
    <x v="4"/>
    <x v="0"/>
    <x v="47"/>
    <x v="1"/>
    <x v="2"/>
    <n v="4.9000000000000004"/>
    <x v="0"/>
    <n v="2.7"/>
    <n v="2.12"/>
    <n v="0.2"/>
    <x v="1"/>
    <x v="0"/>
    <x v="2"/>
    <n v="3"/>
    <n v="8"/>
    <x v="0"/>
  </r>
  <r>
    <x v="1"/>
    <x v="0"/>
    <x v="14"/>
    <x v="1"/>
    <x v="1"/>
    <n v="5.8"/>
    <x v="0"/>
    <n v="1.1000000000000001"/>
    <n v="3.29"/>
    <n v="1.7"/>
    <x v="0"/>
    <x v="1"/>
    <x v="4"/>
    <n v="4"/>
    <n v="2"/>
    <x v="0"/>
  </r>
  <r>
    <x v="4"/>
    <x v="1"/>
    <x v="69"/>
    <x v="2"/>
    <x v="2"/>
    <n v="5.5"/>
    <x v="0"/>
    <n v="1.8"/>
    <n v="2.2400000000000002"/>
    <n v="0"/>
    <x v="2"/>
    <x v="1"/>
    <x v="3"/>
    <n v="4"/>
    <n v="10"/>
    <x v="0"/>
  </r>
  <r>
    <x v="3"/>
    <x v="0"/>
    <x v="9"/>
    <x v="2"/>
    <x v="2"/>
    <n v="5.2"/>
    <x v="0"/>
    <n v="0.7"/>
    <n v="2.5499999999999998"/>
    <n v="0.1"/>
    <x v="1"/>
    <x v="0"/>
    <x v="7"/>
    <n v="6"/>
    <n v="4"/>
    <x v="0"/>
  </r>
  <r>
    <x v="0"/>
    <x v="1"/>
    <x v="8"/>
    <x v="0"/>
    <x v="2"/>
    <n v="7"/>
    <x v="0"/>
    <n v="2.2999999999999998"/>
    <n v="3.74"/>
    <n v="0.7"/>
    <x v="1"/>
    <x v="0"/>
    <x v="1"/>
    <n v="4"/>
    <n v="7"/>
    <x v="0"/>
  </r>
  <r>
    <x v="5"/>
    <x v="1"/>
    <x v="11"/>
    <x v="2"/>
    <x v="0"/>
    <n v="7.2"/>
    <x v="0"/>
    <n v="1.1000000000000001"/>
    <n v="2.29"/>
    <n v="1.9"/>
    <x v="0"/>
    <x v="0"/>
    <x v="1"/>
    <n v="5"/>
    <n v="9"/>
    <x v="0"/>
  </r>
  <r>
    <x v="6"/>
    <x v="1"/>
    <x v="67"/>
    <x v="2"/>
    <x v="2"/>
    <n v="7.7"/>
    <x v="0"/>
    <n v="2.1"/>
    <n v="2.33"/>
    <n v="1.7"/>
    <x v="0"/>
    <x v="0"/>
    <x v="0"/>
    <n v="8"/>
    <n v="7"/>
    <x v="0"/>
  </r>
  <r>
    <x v="5"/>
    <x v="1"/>
    <x v="62"/>
    <x v="2"/>
    <x v="1"/>
    <n v="7"/>
    <x v="0"/>
    <n v="0.8"/>
    <n v="2.29"/>
    <n v="1.6"/>
    <x v="0"/>
    <x v="0"/>
    <x v="4"/>
    <n v="8"/>
    <n v="1"/>
    <x v="0"/>
  </r>
  <r>
    <x v="3"/>
    <x v="1"/>
    <x v="67"/>
    <x v="2"/>
    <x v="0"/>
    <n v="7.5"/>
    <x v="0"/>
    <n v="1.4"/>
    <n v="3.19"/>
    <n v="1.8"/>
    <x v="0"/>
    <x v="0"/>
    <x v="4"/>
    <n v="1"/>
    <n v="7"/>
    <x v="0"/>
  </r>
  <r>
    <x v="1"/>
    <x v="1"/>
    <x v="22"/>
    <x v="2"/>
    <x v="0"/>
    <n v="4.2"/>
    <x v="0"/>
    <n v="1.2"/>
    <n v="3.87"/>
    <n v="1.3"/>
    <x v="0"/>
    <x v="0"/>
    <x v="2"/>
    <n v="9"/>
    <n v="5"/>
    <x v="0"/>
  </r>
  <r>
    <x v="3"/>
    <x v="0"/>
    <x v="19"/>
    <x v="2"/>
    <x v="0"/>
    <n v="7.6"/>
    <x v="0"/>
    <n v="1"/>
    <n v="2.17"/>
    <n v="1.1000000000000001"/>
    <x v="0"/>
    <x v="0"/>
    <x v="6"/>
    <n v="5"/>
    <n v="1"/>
    <x v="0"/>
  </r>
  <r>
    <x v="4"/>
    <x v="1"/>
    <x v="34"/>
    <x v="2"/>
    <x v="0"/>
    <n v="7"/>
    <x v="0"/>
    <n v="2.7"/>
    <n v="2.89"/>
    <n v="1.8"/>
    <x v="0"/>
    <x v="1"/>
    <x v="2"/>
    <n v="1"/>
    <n v="2"/>
    <x v="0"/>
  </r>
  <r>
    <x v="0"/>
    <x v="1"/>
    <x v="28"/>
    <x v="2"/>
    <x v="0"/>
    <n v="5.9"/>
    <x v="0"/>
    <n v="1.4"/>
    <n v="2.15"/>
    <n v="0.3"/>
    <x v="1"/>
    <x v="1"/>
    <x v="3"/>
    <n v="10"/>
    <n v="2"/>
    <x v="0"/>
  </r>
  <r>
    <x v="2"/>
    <x v="1"/>
    <x v="34"/>
    <x v="2"/>
    <x v="2"/>
    <n v="6.1"/>
    <x v="0"/>
    <n v="2.8"/>
    <n v="3.38"/>
    <n v="1.2"/>
    <x v="0"/>
    <x v="0"/>
    <x v="7"/>
    <n v="4"/>
    <n v="2"/>
    <x v="0"/>
  </r>
  <r>
    <x v="6"/>
    <x v="0"/>
    <x v="27"/>
    <x v="2"/>
    <x v="0"/>
    <n v="5.2"/>
    <x v="0"/>
    <n v="2.6"/>
    <n v="2.04"/>
    <n v="1.7"/>
    <x v="0"/>
    <x v="2"/>
    <x v="6"/>
    <n v="4"/>
    <n v="5"/>
    <x v="0"/>
  </r>
  <r>
    <x v="1"/>
    <x v="1"/>
    <x v="19"/>
    <x v="2"/>
    <x v="2"/>
    <n v="6.4"/>
    <x v="0"/>
    <n v="1.4"/>
    <n v="2.2599999999999998"/>
    <n v="1.6"/>
    <x v="0"/>
    <x v="1"/>
    <x v="0"/>
    <n v="3"/>
    <n v="6"/>
    <x v="0"/>
  </r>
  <r>
    <x v="4"/>
    <x v="0"/>
    <x v="41"/>
    <x v="0"/>
    <x v="1"/>
    <n v="7.6"/>
    <x v="0"/>
    <n v="1.8"/>
    <n v="3.19"/>
    <n v="1.7"/>
    <x v="0"/>
    <x v="1"/>
    <x v="0"/>
    <n v="6"/>
    <n v="6"/>
    <x v="0"/>
  </r>
  <r>
    <x v="4"/>
    <x v="0"/>
    <x v="64"/>
    <x v="2"/>
    <x v="0"/>
    <n v="5.5"/>
    <x v="0"/>
    <n v="1.8"/>
    <n v="3.83"/>
    <n v="1.9"/>
    <x v="0"/>
    <x v="0"/>
    <x v="3"/>
    <n v="8"/>
    <n v="8"/>
    <x v="0"/>
  </r>
  <r>
    <x v="0"/>
    <x v="1"/>
    <x v="8"/>
    <x v="0"/>
    <x v="2"/>
    <n v="5"/>
    <x v="0"/>
    <n v="2.9"/>
    <n v="3.76"/>
    <n v="0.4"/>
    <x v="1"/>
    <x v="2"/>
    <x v="9"/>
    <n v="4"/>
    <n v="2"/>
    <x v="0"/>
  </r>
  <r>
    <x v="6"/>
    <x v="0"/>
    <x v="29"/>
    <x v="2"/>
    <x v="0"/>
    <n v="6"/>
    <x v="0"/>
    <n v="0.6"/>
    <n v="2.41"/>
    <n v="0"/>
    <x v="2"/>
    <x v="1"/>
    <x v="3"/>
    <n v="6"/>
    <n v="9"/>
    <x v="0"/>
  </r>
  <r>
    <x v="2"/>
    <x v="1"/>
    <x v="32"/>
    <x v="0"/>
    <x v="0"/>
    <n v="6.7"/>
    <x v="0"/>
    <n v="1"/>
    <n v="3.41"/>
    <n v="1.7"/>
    <x v="0"/>
    <x v="2"/>
    <x v="4"/>
    <n v="5"/>
    <n v="2"/>
    <x v="0"/>
  </r>
  <r>
    <x v="6"/>
    <x v="0"/>
    <x v="40"/>
    <x v="2"/>
    <x v="2"/>
    <n v="4.5"/>
    <x v="0"/>
    <n v="1.6"/>
    <n v="2.02"/>
    <n v="0.6"/>
    <x v="1"/>
    <x v="1"/>
    <x v="4"/>
    <n v="6"/>
    <n v="5"/>
    <x v="0"/>
  </r>
  <r>
    <x v="3"/>
    <x v="1"/>
    <x v="69"/>
    <x v="2"/>
    <x v="2"/>
    <n v="4"/>
    <x v="0"/>
    <n v="2.4"/>
    <n v="3.01"/>
    <n v="0.9"/>
    <x v="1"/>
    <x v="0"/>
    <x v="7"/>
    <n v="3"/>
    <n v="2"/>
    <x v="0"/>
  </r>
  <r>
    <x v="3"/>
    <x v="0"/>
    <x v="41"/>
    <x v="0"/>
    <x v="2"/>
    <n v="6.3"/>
    <x v="0"/>
    <n v="2.8"/>
    <n v="3.04"/>
    <n v="1.8"/>
    <x v="0"/>
    <x v="0"/>
    <x v="2"/>
    <n v="5"/>
    <n v="8"/>
    <x v="0"/>
  </r>
  <r>
    <x v="2"/>
    <x v="0"/>
    <x v="47"/>
    <x v="1"/>
    <x v="0"/>
    <n v="6.9"/>
    <x v="0"/>
    <n v="2.7"/>
    <n v="2.5299999999999998"/>
    <n v="1.7"/>
    <x v="0"/>
    <x v="1"/>
    <x v="0"/>
    <n v="2"/>
    <n v="7"/>
    <x v="0"/>
  </r>
  <r>
    <x v="5"/>
    <x v="0"/>
    <x v="44"/>
    <x v="2"/>
    <x v="0"/>
    <n v="5.0999999999999996"/>
    <x v="0"/>
    <n v="0.9"/>
    <n v="2.57"/>
    <n v="1.4"/>
    <x v="0"/>
    <x v="2"/>
    <x v="1"/>
    <n v="5"/>
    <n v="8"/>
    <x v="0"/>
  </r>
  <r>
    <x v="2"/>
    <x v="1"/>
    <x v="69"/>
    <x v="2"/>
    <x v="2"/>
    <n v="6"/>
    <x v="0"/>
    <n v="2.8"/>
    <n v="3.4"/>
    <n v="0"/>
    <x v="2"/>
    <x v="2"/>
    <x v="0"/>
    <n v="3"/>
    <n v="8"/>
    <x v="0"/>
  </r>
  <r>
    <x v="3"/>
    <x v="1"/>
    <x v="13"/>
    <x v="2"/>
    <x v="1"/>
    <n v="7.1"/>
    <x v="0"/>
    <n v="0.9"/>
    <n v="2.84"/>
    <n v="0.3"/>
    <x v="1"/>
    <x v="0"/>
    <x v="2"/>
    <n v="9"/>
    <n v="4"/>
    <x v="0"/>
  </r>
  <r>
    <x v="1"/>
    <x v="1"/>
    <x v="60"/>
    <x v="0"/>
    <x v="2"/>
    <n v="5.4"/>
    <x v="0"/>
    <n v="1.9"/>
    <n v="2.56"/>
    <n v="1.4"/>
    <x v="0"/>
    <x v="0"/>
    <x v="0"/>
    <n v="7"/>
    <n v="9"/>
    <x v="0"/>
  </r>
  <r>
    <x v="6"/>
    <x v="0"/>
    <x v="0"/>
    <x v="0"/>
    <x v="0"/>
    <n v="7.1"/>
    <x v="0"/>
    <n v="0.7"/>
    <n v="2.8"/>
    <n v="0.3"/>
    <x v="1"/>
    <x v="2"/>
    <x v="4"/>
    <n v="8"/>
    <n v="8"/>
    <x v="0"/>
  </r>
  <r>
    <x v="3"/>
    <x v="0"/>
    <x v="44"/>
    <x v="2"/>
    <x v="2"/>
    <n v="6.8"/>
    <x v="0"/>
    <n v="1.7"/>
    <n v="2.06"/>
    <n v="0.4"/>
    <x v="1"/>
    <x v="2"/>
    <x v="1"/>
    <n v="6"/>
    <n v="6"/>
    <x v="0"/>
  </r>
  <r>
    <x v="1"/>
    <x v="0"/>
    <x v="12"/>
    <x v="2"/>
    <x v="1"/>
    <n v="6.4"/>
    <x v="0"/>
    <n v="0.9"/>
    <n v="3.57"/>
    <n v="1.5"/>
    <x v="0"/>
    <x v="1"/>
    <x v="3"/>
    <n v="7"/>
    <n v="2"/>
    <x v="0"/>
  </r>
  <r>
    <x v="6"/>
    <x v="1"/>
    <x v="38"/>
    <x v="0"/>
    <x v="0"/>
    <n v="5.7"/>
    <x v="0"/>
    <n v="1.2"/>
    <n v="3.83"/>
    <n v="2"/>
    <x v="0"/>
    <x v="2"/>
    <x v="0"/>
    <n v="8"/>
    <n v="7"/>
    <x v="0"/>
  </r>
  <r>
    <x v="6"/>
    <x v="1"/>
    <x v="2"/>
    <x v="1"/>
    <x v="1"/>
    <n v="8.6999999999999993"/>
    <x v="1"/>
    <n v="0.9"/>
    <n v="4"/>
    <n v="0.1"/>
    <x v="1"/>
    <x v="0"/>
    <x v="7"/>
    <n v="9"/>
    <n v="9"/>
    <x v="0"/>
  </r>
  <r>
    <x v="6"/>
    <x v="1"/>
    <x v="43"/>
    <x v="1"/>
    <x v="2"/>
    <n v="6.7"/>
    <x v="0"/>
    <n v="2"/>
    <n v="3.63"/>
    <n v="0.2"/>
    <x v="1"/>
    <x v="2"/>
    <x v="3"/>
    <n v="10"/>
    <n v="5"/>
    <x v="0"/>
  </r>
  <r>
    <x v="6"/>
    <x v="1"/>
    <x v="7"/>
    <x v="2"/>
    <x v="1"/>
    <n v="9"/>
    <x v="1"/>
    <n v="0.7"/>
    <n v="2.4900000000000002"/>
    <n v="0.6"/>
    <x v="1"/>
    <x v="2"/>
    <x v="3"/>
    <n v="6"/>
    <n v="4"/>
    <x v="0"/>
  </r>
  <r>
    <x v="5"/>
    <x v="0"/>
    <x v="3"/>
    <x v="0"/>
    <x v="2"/>
    <n v="7.2"/>
    <x v="0"/>
    <n v="1.8"/>
    <n v="2.11"/>
    <n v="1.4"/>
    <x v="0"/>
    <x v="2"/>
    <x v="3"/>
    <n v="7"/>
    <n v="3"/>
    <x v="0"/>
  </r>
  <r>
    <x v="6"/>
    <x v="0"/>
    <x v="37"/>
    <x v="2"/>
    <x v="1"/>
    <n v="8.3000000000000007"/>
    <x v="1"/>
    <n v="2.8"/>
    <n v="2.63"/>
    <n v="0.6"/>
    <x v="1"/>
    <x v="1"/>
    <x v="5"/>
    <n v="3"/>
    <n v="7"/>
    <x v="0"/>
  </r>
  <r>
    <x v="4"/>
    <x v="1"/>
    <x v="28"/>
    <x v="2"/>
    <x v="1"/>
    <n v="6.8"/>
    <x v="0"/>
    <n v="1.5"/>
    <n v="2.4"/>
    <n v="1.4"/>
    <x v="0"/>
    <x v="2"/>
    <x v="5"/>
    <n v="10"/>
    <n v="2"/>
    <x v="0"/>
  </r>
  <r>
    <x v="4"/>
    <x v="1"/>
    <x v="5"/>
    <x v="2"/>
    <x v="1"/>
    <n v="7.1"/>
    <x v="0"/>
    <n v="1.6"/>
    <n v="3.97"/>
    <n v="0.7"/>
    <x v="1"/>
    <x v="2"/>
    <x v="7"/>
    <n v="7"/>
    <n v="3"/>
    <x v="0"/>
  </r>
  <r>
    <x v="4"/>
    <x v="0"/>
    <x v="6"/>
    <x v="2"/>
    <x v="2"/>
    <n v="8"/>
    <x v="1"/>
    <n v="2"/>
    <n v="3.04"/>
    <n v="1.4"/>
    <x v="0"/>
    <x v="1"/>
    <x v="3"/>
    <n v="1"/>
    <n v="8"/>
    <x v="0"/>
  </r>
  <r>
    <x v="2"/>
    <x v="1"/>
    <x v="24"/>
    <x v="2"/>
    <x v="2"/>
    <n v="8"/>
    <x v="1"/>
    <n v="1.9"/>
    <n v="2.86"/>
    <n v="0.4"/>
    <x v="1"/>
    <x v="2"/>
    <x v="6"/>
    <n v="8"/>
    <n v="5"/>
    <x v="0"/>
  </r>
  <r>
    <x v="0"/>
    <x v="1"/>
    <x v="36"/>
    <x v="2"/>
    <x v="1"/>
    <n v="5.8"/>
    <x v="0"/>
    <n v="1.6"/>
    <n v="3.34"/>
    <n v="1.1000000000000001"/>
    <x v="0"/>
    <x v="2"/>
    <x v="4"/>
    <n v="10"/>
    <n v="3"/>
    <x v="0"/>
  </r>
  <r>
    <x v="0"/>
    <x v="0"/>
    <x v="8"/>
    <x v="0"/>
    <x v="1"/>
    <n v="5.7"/>
    <x v="0"/>
    <n v="2.7"/>
    <n v="2.76"/>
    <n v="0.4"/>
    <x v="1"/>
    <x v="0"/>
    <x v="9"/>
    <n v="3"/>
    <n v="7"/>
    <x v="0"/>
  </r>
  <r>
    <x v="6"/>
    <x v="1"/>
    <x v="36"/>
    <x v="2"/>
    <x v="0"/>
    <n v="5.3"/>
    <x v="0"/>
    <n v="1"/>
    <n v="3.89"/>
    <n v="1.7"/>
    <x v="0"/>
    <x v="1"/>
    <x v="8"/>
    <n v="2"/>
    <n v="4"/>
    <x v="0"/>
  </r>
  <r>
    <x v="3"/>
    <x v="1"/>
    <x v="32"/>
    <x v="0"/>
    <x v="2"/>
    <n v="5.7"/>
    <x v="0"/>
    <n v="2.9"/>
    <n v="3.48"/>
    <n v="1.8"/>
    <x v="0"/>
    <x v="2"/>
    <x v="0"/>
    <n v="7"/>
    <n v="8"/>
    <x v="0"/>
  </r>
  <r>
    <x v="5"/>
    <x v="1"/>
    <x v="68"/>
    <x v="2"/>
    <x v="1"/>
    <n v="9"/>
    <x v="1"/>
    <n v="1.5"/>
    <n v="3.37"/>
    <n v="1.9"/>
    <x v="0"/>
    <x v="0"/>
    <x v="6"/>
    <n v="3"/>
    <n v="1"/>
    <x v="0"/>
  </r>
  <r>
    <x v="5"/>
    <x v="0"/>
    <x v="59"/>
    <x v="0"/>
    <x v="0"/>
    <n v="4.8"/>
    <x v="0"/>
    <n v="1.7"/>
    <n v="2.9"/>
    <n v="0.3"/>
    <x v="1"/>
    <x v="0"/>
    <x v="6"/>
    <n v="1"/>
    <n v="8"/>
    <x v="0"/>
  </r>
  <r>
    <x v="3"/>
    <x v="0"/>
    <x v="6"/>
    <x v="2"/>
    <x v="1"/>
    <n v="8.4"/>
    <x v="1"/>
    <n v="2.2999999999999998"/>
    <n v="2.52"/>
    <n v="0.9"/>
    <x v="1"/>
    <x v="0"/>
    <x v="6"/>
    <n v="5"/>
    <n v="3"/>
    <x v="0"/>
  </r>
  <r>
    <x v="5"/>
    <x v="0"/>
    <x v="26"/>
    <x v="2"/>
    <x v="2"/>
    <n v="7.5"/>
    <x v="0"/>
    <n v="2.8"/>
    <n v="3.53"/>
    <n v="0.9"/>
    <x v="1"/>
    <x v="2"/>
    <x v="3"/>
    <n v="1"/>
    <n v="5"/>
    <x v="0"/>
  </r>
  <r>
    <x v="3"/>
    <x v="0"/>
    <x v="8"/>
    <x v="0"/>
    <x v="2"/>
    <n v="5.7"/>
    <x v="0"/>
    <n v="0.7"/>
    <n v="3.89"/>
    <n v="1"/>
    <x v="1"/>
    <x v="2"/>
    <x v="2"/>
    <n v="3"/>
    <n v="6"/>
    <x v="0"/>
  </r>
  <r>
    <x v="4"/>
    <x v="0"/>
    <x v="0"/>
    <x v="0"/>
    <x v="2"/>
    <n v="7"/>
    <x v="0"/>
    <n v="2.7"/>
    <n v="3.9"/>
    <n v="1"/>
    <x v="1"/>
    <x v="2"/>
    <x v="2"/>
    <n v="2"/>
    <n v="10"/>
    <x v="0"/>
  </r>
  <r>
    <x v="0"/>
    <x v="1"/>
    <x v="49"/>
    <x v="2"/>
    <x v="0"/>
    <n v="5.3"/>
    <x v="0"/>
    <n v="2.2999999999999998"/>
    <n v="2.31"/>
    <n v="0.2"/>
    <x v="1"/>
    <x v="1"/>
    <x v="3"/>
    <n v="3"/>
    <n v="6"/>
    <x v="0"/>
  </r>
  <r>
    <x v="3"/>
    <x v="1"/>
    <x v="31"/>
    <x v="2"/>
    <x v="2"/>
    <n v="7.7"/>
    <x v="0"/>
    <n v="0.7"/>
    <n v="3.86"/>
    <n v="1.5"/>
    <x v="0"/>
    <x v="1"/>
    <x v="7"/>
    <n v="2"/>
    <n v="7"/>
    <x v="0"/>
  </r>
  <r>
    <x v="5"/>
    <x v="1"/>
    <x v="57"/>
    <x v="2"/>
    <x v="2"/>
    <n v="4.2"/>
    <x v="0"/>
    <n v="2"/>
    <n v="3.89"/>
    <n v="1.1000000000000001"/>
    <x v="0"/>
    <x v="2"/>
    <x v="0"/>
    <n v="9"/>
    <n v="8"/>
    <x v="0"/>
  </r>
  <r>
    <x v="5"/>
    <x v="0"/>
    <x v="59"/>
    <x v="0"/>
    <x v="1"/>
    <n v="7.4"/>
    <x v="0"/>
    <n v="2.6"/>
    <n v="2.92"/>
    <n v="1"/>
    <x v="1"/>
    <x v="2"/>
    <x v="7"/>
    <n v="6"/>
    <n v="3"/>
    <x v="0"/>
  </r>
  <r>
    <x v="2"/>
    <x v="1"/>
    <x v="53"/>
    <x v="0"/>
    <x v="1"/>
    <n v="5.7"/>
    <x v="0"/>
    <n v="1.2"/>
    <n v="3.72"/>
    <n v="1.2"/>
    <x v="0"/>
    <x v="1"/>
    <x v="7"/>
    <n v="2"/>
    <n v="6"/>
    <x v="0"/>
  </r>
  <r>
    <x v="0"/>
    <x v="1"/>
    <x v="27"/>
    <x v="2"/>
    <x v="0"/>
    <n v="6.2"/>
    <x v="0"/>
    <n v="1"/>
    <n v="2"/>
    <n v="1.5"/>
    <x v="0"/>
    <x v="0"/>
    <x v="5"/>
    <n v="6"/>
    <n v="1"/>
    <x v="0"/>
  </r>
  <r>
    <x v="2"/>
    <x v="0"/>
    <x v="24"/>
    <x v="2"/>
    <x v="1"/>
    <n v="5.3"/>
    <x v="0"/>
    <n v="1.1000000000000001"/>
    <n v="3.5"/>
    <n v="1.7"/>
    <x v="0"/>
    <x v="2"/>
    <x v="2"/>
    <n v="10"/>
    <n v="7"/>
    <x v="0"/>
  </r>
  <r>
    <x v="4"/>
    <x v="0"/>
    <x v="44"/>
    <x v="2"/>
    <x v="2"/>
    <n v="8.6"/>
    <x v="1"/>
    <n v="2.7"/>
    <n v="3.28"/>
    <n v="0.8"/>
    <x v="1"/>
    <x v="1"/>
    <x v="5"/>
    <n v="4"/>
    <n v="6"/>
    <x v="0"/>
  </r>
  <r>
    <x v="6"/>
    <x v="1"/>
    <x v="37"/>
    <x v="2"/>
    <x v="0"/>
    <n v="4.4000000000000004"/>
    <x v="0"/>
    <n v="1.8"/>
    <n v="3.8"/>
    <n v="1"/>
    <x v="1"/>
    <x v="1"/>
    <x v="0"/>
    <n v="2"/>
    <n v="1"/>
    <x v="0"/>
  </r>
  <r>
    <x v="0"/>
    <x v="1"/>
    <x v="46"/>
    <x v="2"/>
    <x v="1"/>
    <n v="6.8"/>
    <x v="0"/>
    <n v="2.2999999999999998"/>
    <n v="2.66"/>
    <n v="1.1000000000000001"/>
    <x v="0"/>
    <x v="1"/>
    <x v="9"/>
    <n v="6"/>
    <n v="2"/>
    <x v="0"/>
  </r>
  <r>
    <x v="4"/>
    <x v="0"/>
    <x v="28"/>
    <x v="2"/>
    <x v="2"/>
    <n v="4.3"/>
    <x v="0"/>
    <n v="2.9"/>
    <n v="2.95"/>
    <n v="0.6"/>
    <x v="1"/>
    <x v="2"/>
    <x v="9"/>
    <n v="9"/>
    <n v="8"/>
    <x v="0"/>
  </r>
  <r>
    <x v="1"/>
    <x v="0"/>
    <x v="63"/>
    <x v="1"/>
    <x v="2"/>
    <n v="4.7"/>
    <x v="0"/>
    <n v="0.5"/>
    <n v="3.57"/>
    <n v="1.7"/>
    <x v="0"/>
    <x v="1"/>
    <x v="2"/>
    <n v="5"/>
    <n v="6"/>
    <x v="0"/>
  </r>
  <r>
    <x v="6"/>
    <x v="1"/>
    <x v="36"/>
    <x v="2"/>
    <x v="2"/>
    <n v="8.1999999999999993"/>
    <x v="1"/>
    <n v="2.2999999999999998"/>
    <n v="2.48"/>
    <n v="0.9"/>
    <x v="1"/>
    <x v="0"/>
    <x v="5"/>
    <n v="8"/>
    <n v="9"/>
    <x v="0"/>
  </r>
  <r>
    <x v="5"/>
    <x v="1"/>
    <x v="0"/>
    <x v="0"/>
    <x v="0"/>
    <n v="6.3"/>
    <x v="0"/>
    <n v="2.7"/>
    <n v="2.88"/>
    <n v="0.2"/>
    <x v="1"/>
    <x v="1"/>
    <x v="0"/>
    <n v="7"/>
    <n v="5"/>
    <x v="0"/>
  </r>
  <r>
    <x v="6"/>
    <x v="0"/>
    <x v="35"/>
    <x v="2"/>
    <x v="2"/>
    <n v="6.8"/>
    <x v="0"/>
    <n v="2.2999999999999998"/>
    <n v="2.2799999999999998"/>
    <n v="1"/>
    <x v="1"/>
    <x v="0"/>
    <x v="9"/>
    <n v="2"/>
    <n v="6"/>
    <x v="0"/>
  </r>
  <r>
    <x v="0"/>
    <x v="1"/>
    <x v="55"/>
    <x v="2"/>
    <x v="0"/>
    <n v="7.9"/>
    <x v="0"/>
    <n v="1.2"/>
    <n v="3.24"/>
    <n v="1.6"/>
    <x v="0"/>
    <x v="1"/>
    <x v="4"/>
    <n v="10"/>
    <n v="5"/>
    <x v="0"/>
  </r>
  <r>
    <x v="1"/>
    <x v="0"/>
    <x v="36"/>
    <x v="2"/>
    <x v="0"/>
    <n v="8.6999999999999993"/>
    <x v="1"/>
    <n v="0.9"/>
    <n v="2.99"/>
    <n v="0.8"/>
    <x v="1"/>
    <x v="2"/>
    <x v="9"/>
    <n v="8"/>
    <n v="2"/>
    <x v="0"/>
  </r>
  <r>
    <x v="2"/>
    <x v="0"/>
    <x v="35"/>
    <x v="2"/>
    <x v="2"/>
    <n v="4.5999999999999996"/>
    <x v="0"/>
    <n v="0.7"/>
    <n v="3.9"/>
    <n v="0.6"/>
    <x v="1"/>
    <x v="1"/>
    <x v="9"/>
    <n v="3"/>
    <n v="1"/>
    <x v="0"/>
  </r>
  <r>
    <x v="5"/>
    <x v="0"/>
    <x v="29"/>
    <x v="2"/>
    <x v="0"/>
    <n v="8.6"/>
    <x v="1"/>
    <n v="1.8"/>
    <n v="2.44"/>
    <n v="1.7"/>
    <x v="0"/>
    <x v="1"/>
    <x v="1"/>
    <n v="7"/>
    <n v="3"/>
    <x v="0"/>
  </r>
  <r>
    <x v="6"/>
    <x v="0"/>
    <x v="37"/>
    <x v="2"/>
    <x v="1"/>
    <n v="7.2"/>
    <x v="0"/>
    <n v="1.1000000000000001"/>
    <n v="2.69"/>
    <n v="0.4"/>
    <x v="1"/>
    <x v="0"/>
    <x v="9"/>
    <n v="3"/>
    <n v="7"/>
    <x v="0"/>
  </r>
  <r>
    <x v="5"/>
    <x v="1"/>
    <x v="61"/>
    <x v="2"/>
    <x v="2"/>
    <n v="7.5"/>
    <x v="0"/>
    <n v="2.5"/>
    <n v="3.14"/>
    <n v="0.5"/>
    <x v="1"/>
    <x v="0"/>
    <x v="8"/>
    <n v="6"/>
    <n v="10"/>
    <x v="0"/>
  </r>
  <r>
    <x v="0"/>
    <x v="1"/>
    <x v="39"/>
    <x v="2"/>
    <x v="2"/>
    <n v="7.8"/>
    <x v="0"/>
    <n v="0.5"/>
    <n v="3.92"/>
    <n v="0.7"/>
    <x v="1"/>
    <x v="1"/>
    <x v="3"/>
    <n v="4"/>
    <n v="8"/>
    <x v="0"/>
  </r>
  <r>
    <x v="3"/>
    <x v="1"/>
    <x v="53"/>
    <x v="0"/>
    <x v="0"/>
    <n v="4.5999999999999996"/>
    <x v="0"/>
    <n v="3"/>
    <n v="2.44"/>
    <n v="1.4"/>
    <x v="0"/>
    <x v="2"/>
    <x v="1"/>
    <n v="10"/>
    <n v="6"/>
    <x v="1"/>
  </r>
  <r>
    <x v="3"/>
    <x v="1"/>
    <x v="33"/>
    <x v="2"/>
    <x v="1"/>
    <n v="7.5"/>
    <x v="0"/>
    <n v="1.1000000000000001"/>
    <n v="3.61"/>
    <n v="0.1"/>
    <x v="1"/>
    <x v="0"/>
    <x v="6"/>
    <n v="6"/>
    <n v="7"/>
    <x v="0"/>
  </r>
  <r>
    <x v="2"/>
    <x v="0"/>
    <x v="35"/>
    <x v="2"/>
    <x v="0"/>
    <n v="4.3"/>
    <x v="0"/>
    <n v="2.2000000000000002"/>
    <n v="3.19"/>
    <n v="1"/>
    <x v="1"/>
    <x v="1"/>
    <x v="6"/>
    <n v="5"/>
    <n v="9"/>
    <x v="0"/>
  </r>
  <r>
    <x v="5"/>
    <x v="1"/>
    <x v="52"/>
    <x v="2"/>
    <x v="1"/>
    <n v="4.5999999999999996"/>
    <x v="0"/>
    <n v="1.8"/>
    <n v="2.2000000000000002"/>
    <n v="1.2"/>
    <x v="0"/>
    <x v="0"/>
    <x v="9"/>
    <n v="4"/>
    <n v="4"/>
    <x v="0"/>
  </r>
  <r>
    <x v="2"/>
    <x v="0"/>
    <x v="4"/>
    <x v="2"/>
    <x v="1"/>
    <n v="7.2"/>
    <x v="0"/>
    <n v="2.7"/>
    <n v="2.06"/>
    <n v="1.4"/>
    <x v="0"/>
    <x v="0"/>
    <x v="3"/>
    <n v="1"/>
    <n v="4"/>
    <x v="0"/>
  </r>
  <r>
    <x v="6"/>
    <x v="0"/>
    <x v="5"/>
    <x v="2"/>
    <x v="0"/>
    <n v="6.3"/>
    <x v="0"/>
    <n v="1.8"/>
    <n v="2.2000000000000002"/>
    <n v="0.1"/>
    <x v="1"/>
    <x v="1"/>
    <x v="8"/>
    <n v="3"/>
    <n v="9"/>
    <x v="0"/>
  </r>
  <r>
    <x v="1"/>
    <x v="1"/>
    <x v="69"/>
    <x v="2"/>
    <x v="1"/>
    <n v="7.4"/>
    <x v="0"/>
    <n v="2"/>
    <n v="2.8"/>
    <n v="1.8"/>
    <x v="0"/>
    <x v="1"/>
    <x v="8"/>
    <n v="8"/>
    <n v="10"/>
    <x v="0"/>
  </r>
  <r>
    <x v="3"/>
    <x v="1"/>
    <x v="35"/>
    <x v="2"/>
    <x v="0"/>
    <n v="8"/>
    <x v="1"/>
    <n v="1.9"/>
    <n v="3.45"/>
    <n v="1.5"/>
    <x v="0"/>
    <x v="1"/>
    <x v="7"/>
    <n v="4"/>
    <n v="1"/>
    <x v="0"/>
  </r>
  <r>
    <x v="0"/>
    <x v="1"/>
    <x v="28"/>
    <x v="2"/>
    <x v="1"/>
    <n v="7"/>
    <x v="0"/>
    <n v="1.6"/>
    <n v="2.74"/>
    <n v="0.9"/>
    <x v="1"/>
    <x v="0"/>
    <x v="3"/>
    <n v="2"/>
    <n v="9"/>
    <x v="0"/>
  </r>
  <r>
    <x v="6"/>
    <x v="1"/>
    <x v="35"/>
    <x v="2"/>
    <x v="0"/>
    <n v="6.9"/>
    <x v="0"/>
    <n v="1.6"/>
    <n v="2.08"/>
    <n v="0.7"/>
    <x v="1"/>
    <x v="0"/>
    <x v="8"/>
    <n v="9"/>
    <n v="9"/>
    <x v="0"/>
  </r>
  <r>
    <x v="1"/>
    <x v="0"/>
    <x v="25"/>
    <x v="1"/>
    <x v="1"/>
    <n v="8.6"/>
    <x v="1"/>
    <n v="1.4"/>
    <n v="2.69"/>
    <n v="1.6"/>
    <x v="0"/>
    <x v="2"/>
    <x v="6"/>
    <n v="3"/>
    <n v="4"/>
    <x v="0"/>
  </r>
  <r>
    <x v="6"/>
    <x v="1"/>
    <x v="50"/>
    <x v="2"/>
    <x v="2"/>
    <n v="5.9"/>
    <x v="0"/>
    <n v="0.7"/>
    <n v="3.98"/>
    <n v="0.8"/>
    <x v="1"/>
    <x v="0"/>
    <x v="4"/>
    <n v="8"/>
    <n v="1"/>
    <x v="0"/>
  </r>
  <r>
    <x v="1"/>
    <x v="1"/>
    <x v="65"/>
    <x v="1"/>
    <x v="2"/>
    <n v="7"/>
    <x v="0"/>
    <n v="2.7"/>
    <n v="2.0699999999999998"/>
    <n v="0.5"/>
    <x v="1"/>
    <x v="1"/>
    <x v="4"/>
    <n v="4"/>
    <n v="10"/>
    <x v="0"/>
  </r>
  <r>
    <x v="0"/>
    <x v="0"/>
    <x v="31"/>
    <x v="2"/>
    <x v="0"/>
    <n v="4.3"/>
    <x v="0"/>
    <n v="2.2999999999999998"/>
    <n v="3.99"/>
    <n v="1.1000000000000001"/>
    <x v="0"/>
    <x v="0"/>
    <x v="9"/>
    <n v="4"/>
    <n v="3"/>
    <x v="0"/>
  </r>
  <r>
    <x v="6"/>
    <x v="1"/>
    <x v="7"/>
    <x v="2"/>
    <x v="1"/>
    <n v="6.4"/>
    <x v="0"/>
    <n v="1"/>
    <n v="2.4900000000000002"/>
    <n v="1"/>
    <x v="1"/>
    <x v="0"/>
    <x v="8"/>
    <n v="2"/>
    <n v="4"/>
    <x v="0"/>
  </r>
  <r>
    <x v="4"/>
    <x v="0"/>
    <x v="17"/>
    <x v="1"/>
    <x v="2"/>
    <n v="6.8"/>
    <x v="0"/>
    <n v="2.6"/>
    <n v="2.85"/>
    <n v="1.8"/>
    <x v="0"/>
    <x v="2"/>
    <x v="6"/>
    <n v="3"/>
    <n v="9"/>
    <x v="0"/>
  </r>
  <r>
    <x v="6"/>
    <x v="1"/>
    <x v="5"/>
    <x v="2"/>
    <x v="2"/>
    <n v="7.8"/>
    <x v="0"/>
    <n v="1.4"/>
    <n v="3.43"/>
    <n v="0.9"/>
    <x v="1"/>
    <x v="2"/>
    <x v="2"/>
    <n v="4"/>
    <n v="6"/>
    <x v="0"/>
  </r>
  <r>
    <x v="5"/>
    <x v="0"/>
    <x v="67"/>
    <x v="2"/>
    <x v="1"/>
    <n v="5.0999999999999996"/>
    <x v="0"/>
    <n v="2.2999999999999998"/>
    <n v="3.6"/>
    <n v="1"/>
    <x v="1"/>
    <x v="1"/>
    <x v="6"/>
    <n v="7"/>
    <n v="6"/>
    <x v="0"/>
  </r>
  <r>
    <x v="4"/>
    <x v="1"/>
    <x v="33"/>
    <x v="2"/>
    <x v="2"/>
    <n v="7.1"/>
    <x v="0"/>
    <n v="1.9"/>
    <n v="2.87"/>
    <n v="1.7"/>
    <x v="0"/>
    <x v="2"/>
    <x v="5"/>
    <n v="8"/>
    <n v="6"/>
    <x v="0"/>
  </r>
  <r>
    <x v="5"/>
    <x v="0"/>
    <x v="0"/>
    <x v="0"/>
    <x v="0"/>
    <n v="8.6999999999999993"/>
    <x v="1"/>
    <n v="2.5"/>
    <n v="2.29"/>
    <n v="0.7"/>
    <x v="1"/>
    <x v="1"/>
    <x v="9"/>
    <n v="7"/>
    <n v="4"/>
    <x v="0"/>
  </r>
  <r>
    <x v="4"/>
    <x v="0"/>
    <x v="46"/>
    <x v="2"/>
    <x v="2"/>
    <n v="8"/>
    <x v="1"/>
    <n v="2.4"/>
    <n v="2.95"/>
    <n v="0"/>
    <x v="2"/>
    <x v="0"/>
    <x v="0"/>
    <n v="10"/>
    <n v="3"/>
    <x v="0"/>
  </r>
  <r>
    <x v="5"/>
    <x v="0"/>
    <x v="40"/>
    <x v="2"/>
    <x v="1"/>
    <n v="4.2"/>
    <x v="0"/>
    <n v="2.1"/>
    <n v="2.2799999999999998"/>
    <n v="1.1000000000000001"/>
    <x v="0"/>
    <x v="2"/>
    <x v="4"/>
    <n v="5"/>
    <n v="7"/>
    <x v="0"/>
  </r>
  <r>
    <x v="4"/>
    <x v="1"/>
    <x v="47"/>
    <x v="1"/>
    <x v="1"/>
    <n v="6.1"/>
    <x v="0"/>
    <n v="2.7"/>
    <n v="2.86"/>
    <n v="1.1000000000000001"/>
    <x v="0"/>
    <x v="0"/>
    <x v="6"/>
    <n v="2"/>
    <n v="4"/>
    <x v="0"/>
  </r>
  <r>
    <x v="4"/>
    <x v="1"/>
    <x v="37"/>
    <x v="2"/>
    <x v="2"/>
    <n v="5.0999999999999996"/>
    <x v="0"/>
    <n v="1.2"/>
    <n v="3.24"/>
    <n v="0.4"/>
    <x v="1"/>
    <x v="1"/>
    <x v="5"/>
    <n v="9"/>
    <n v="2"/>
    <x v="0"/>
  </r>
  <r>
    <x v="4"/>
    <x v="1"/>
    <x v="67"/>
    <x v="2"/>
    <x v="0"/>
    <n v="4.4000000000000004"/>
    <x v="0"/>
    <n v="1.7"/>
    <n v="2.86"/>
    <n v="1.1000000000000001"/>
    <x v="0"/>
    <x v="1"/>
    <x v="1"/>
    <n v="9"/>
    <n v="7"/>
    <x v="0"/>
  </r>
  <r>
    <x v="2"/>
    <x v="0"/>
    <x v="42"/>
    <x v="2"/>
    <x v="2"/>
    <n v="4.5999999999999996"/>
    <x v="0"/>
    <n v="2.5"/>
    <n v="2.04"/>
    <n v="0.8"/>
    <x v="1"/>
    <x v="1"/>
    <x v="7"/>
    <n v="9"/>
    <n v="2"/>
    <x v="1"/>
  </r>
  <r>
    <x v="0"/>
    <x v="1"/>
    <x v="12"/>
    <x v="2"/>
    <x v="0"/>
    <n v="6.7"/>
    <x v="0"/>
    <n v="2.6"/>
    <n v="2.35"/>
    <n v="1.8"/>
    <x v="0"/>
    <x v="1"/>
    <x v="7"/>
    <n v="10"/>
    <n v="7"/>
    <x v="0"/>
  </r>
  <r>
    <x v="2"/>
    <x v="0"/>
    <x v="41"/>
    <x v="0"/>
    <x v="1"/>
    <n v="5.6"/>
    <x v="0"/>
    <n v="2.2999999999999998"/>
    <n v="2.37"/>
    <n v="0"/>
    <x v="2"/>
    <x v="1"/>
    <x v="3"/>
    <n v="10"/>
    <n v="8"/>
    <x v="0"/>
  </r>
  <r>
    <x v="6"/>
    <x v="0"/>
    <x v="33"/>
    <x v="2"/>
    <x v="2"/>
    <n v="6.4"/>
    <x v="0"/>
    <n v="2.5"/>
    <n v="3.13"/>
    <n v="0.3"/>
    <x v="1"/>
    <x v="2"/>
    <x v="1"/>
    <n v="6"/>
    <n v="7"/>
    <x v="0"/>
  </r>
  <r>
    <x v="5"/>
    <x v="0"/>
    <x v="8"/>
    <x v="0"/>
    <x v="2"/>
    <n v="6.9"/>
    <x v="0"/>
    <n v="2.1"/>
    <n v="2.3199999999999998"/>
    <n v="1.1000000000000001"/>
    <x v="0"/>
    <x v="0"/>
    <x v="3"/>
    <n v="4"/>
    <n v="10"/>
    <x v="0"/>
  </r>
  <r>
    <x v="1"/>
    <x v="0"/>
    <x v="23"/>
    <x v="2"/>
    <x v="1"/>
    <n v="4.3"/>
    <x v="0"/>
    <n v="0.8"/>
    <n v="3.4"/>
    <n v="0.7"/>
    <x v="1"/>
    <x v="0"/>
    <x v="1"/>
    <n v="1"/>
    <n v="1"/>
    <x v="0"/>
  </r>
  <r>
    <x v="6"/>
    <x v="1"/>
    <x v="4"/>
    <x v="2"/>
    <x v="2"/>
    <n v="6.8"/>
    <x v="0"/>
    <n v="1.4"/>
    <n v="3.91"/>
    <n v="0.8"/>
    <x v="1"/>
    <x v="1"/>
    <x v="7"/>
    <n v="6"/>
    <n v="9"/>
    <x v="0"/>
  </r>
  <r>
    <x v="0"/>
    <x v="0"/>
    <x v="46"/>
    <x v="2"/>
    <x v="2"/>
    <n v="4.5"/>
    <x v="0"/>
    <n v="1.4"/>
    <n v="2.44"/>
    <n v="1.2"/>
    <x v="0"/>
    <x v="0"/>
    <x v="5"/>
    <n v="10"/>
    <n v="9"/>
    <x v="0"/>
  </r>
  <r>
    <x v="4"/>
    <x v="1"/>
    <x v="34"/>
    <x v="2"/>
    <x v="0"/>
    <n v="4"/>
    <x v="0"/>
    <n v="2.9"/>
    <n v="3.15"/>
    <n v="1.9"/>
    <x v="0"/>
    <x v="2"/>
    <x v="1"/>
    <n v="6"/>
    <n v="5"/>
    <x v="0"/>
  </r>
  <r>
    <x v="3"/>
    <x v="1"/>
    <x v="43"/>
    <x v="1"/>
    <x v="0"/>
    <n v="9"/>
    <x v="1"/>
    <n v="1.2"/>
    <n v="2.9"/>
    <n v="1.8"/>
    <x v="0"/>
    <x v="2"/>
    <x v="5"/>
    <n v="10"/>
    <n v="2"/>
    <x v="0"/>
  </r>
  <r>
    <x v="4"/>
    <x v="1"/>
    <x v="20"/>
    <x v="2"/>
    <x v="2"/>
    <n v="4.5999999999999996"/>
    <x v="0"/>
    <n v="1.5"/>
    <n v="2.54"/>
    <n v="0.6"/>
    <x v="1"/>
    <x v="2"/>
    <x v="6"/>
    <n v="3"/>
    <n v="4"/>
    <x v="0"/>
  </r>
  <r>
    <x v="0"/>
    <x v="1"/>
    <x v="35"/>
    <x v="2"/>
    <x v="2"/>
    <n v="5.3"/>
    <x v="0"/>
    <n v="2.5"/>
    <n v="2.29"/>
    <n v="0.7"/>
    <x v="1"/>
    <x v="0"/>
    <x v="2"/>
    <n v="10"/>
    <n v="3"/>
    <x v="0"/>
  </r>
  <r>
    <x v="3"/>
    <x v="0"/>
    <x v="52"/>
    <x v="2"/>
    <x v="2"/>
    <n v="6.2"/>
    <x v="0"/>
    <n v="1.2"/>
    <n v="3.19"/>
    <n v="0"/>
    <x v="2"/>
    <x v="2"/>
    <x v="4"/>
    <n v="5"/>
    <n v="2"/>
    <x v="0"/>
  </r>
  <r>
    <x v="0"/>
    <x v="0"/>
    <x v="59"/>
    <x v="0"/>
    <x v="2"/>
    <n v="6.7"/>
    <x v="0"/>
    <n v="1.9"/>
    <n v="2.48"/>
    <n v="1.3"/>
    <x v="0"/>
    <x v="0"/>
    <x v="9"/>
    <n v="1"/>
    <n v="5"/>
    <x v="0"/>
  </r>
  <r>
    <x v="0"/>
    <x v="1"/>
    <x v="6"/>
    <x v="2"/>
    <x v="1"/>
    <n v="4.0999999999999996"/>
    <x v="0"/>
    <n v="0.9"/>
    <n v="2.99"/>
    <n v="1.9"/>
    <x v="0"/>
    <x v="0"/>
    <x v="0"/>
    <n v="9"/>
    <n v="10"/>
    <x v="0"/>
  </r>
  <r>
    <x v="3"/>
    <x v="1"/>
    <x v="65"/>
    <x v="1"/>
    <x v="0"/>
    <n v="5.3"/>
    <x v="0"/>
    <n v="1.5"/>
    <n v="3.6"/>
    <n v="1.5"/>
    <x v="0"/>
    <x v="1"/>
    <x v="4"/>
    <n v="4"/>
    <n v="3"/>
    <x v="0"/>
  </r>
  <r>
    <x v="0"/>
    <x v="1"/>
    <x v="53"/>
    <x v="0"/>
    <x v="1"/>
    <n v="4.7"/>
    <x v="0"/>
    <n v="2.2000000000000002"/>
    <n v="3.53"/>
    <n v="0.6"/>
    <x v="1"/>
    <x v="0"/>
    <x v="5"/>
    <n v="8"/>
    <n v="2"/>
    <x v="0"/>
  </r>
  <r>
    <x v="3"/>
    <x v="1"/>
    <x v="33"/>
    <x v="2"/>
    <x v="0"/>
    <n v="6.7"/>
    <x v="0"/>
    <n v="3"/>
    <n v="3.18"/>
    <n v="0.6"/>
    <x v="1"/>
    <x v="0"/>
    <x v="8"/>
    <n v="7"/>
    <n v="9"/>
    <x v="0"/>
  </r>
  <r>
    <x v="1"/>
    <x v="1"/>
    <x v="0"/>
    <x v="0"/>
    <x v="1"/>
    <n v="5.8"/>
    <x v="0"/>
    <n v="2.1"/>
    <n v="3.91"/>
    <n v="1.4"/>
    <x v="0"/>
    <x v="1"/>
    <x v="9"/>
    <n v="1"/>
    <n v="10"/>
    <x v="0"/>
  </r>
  <r>
    <x v="2"/>
    <x v="0"/>
    <x v="62"/>
    <x v="2"/>
    <x v="2"/>
    <n v="6.6"/>
    <x v="0"/>
    <n v="1.3"/>
    <n v="2.11"/>
    <n v="1.4"/>
    <x v="0"/>
    <x v="0"/>
    <x v="7"/>
    <n v="4"/>
    <n v="9"/>
    <x v="0"/>
  </r>
  <r>
    <x v="6"/>
    <x v="1"/>
    <x v="44"/>
    <x v="2"/>
    <x v="1"/>
    <n v="8.5"/>
    <x v="1"/>
    <n v="1.9"/>
    <n v="3.06"/>
    <n v="1.9"/>
    <x v="0"/>
    <x v="1"/>
    <x v="5"/>
    <n v="7"/>
    <n v="6"/>
    <x v="0"/>
  </r>
  <r>
    <x v="4"/>
    <x v="1"/>
    <x v="30"/>
    <x v="2"/>
    <x v="1"/>
    <n v="4.8"/>
    <x v="0"/>
    <n v="1.2"/>
    <n v="2.91"/>
    <n v="1.3"/>
    <x v="0"/>
    <x v="2"/>
    <x v="8"/>
    <n v="10"/>
    <n v="3"/>
    <x v="1"/>
  </r>
  <r>
    <x v="1"/>
    <x v="1"/>
    <x v="34"/>
    <x v="2"/>
    <x v="1"/>
    <n v="8.4"/>
    <x v="1"/>
    <n v="2.1"/>
    <n v="2.62"/>
    <n v="2"/>
    <x v="0"/>
    <x v="0"/>
    <x v="5"/>
    <n v="10"/>
    <n v="5"/>
    <x v="0"/>
  </r>
  <r>
    <x v="1"/>
    <x v="0"/>
    <x v="20"/>
    <x v="2"/>
    <x v="0"/>
    <n v="4.7"/>
    <x v="0"/>
    <n v="2.8"/>
    <n v="2.82"/>
    <n v="0.3"/>
    <x v="1"/>
    <x v="1"/>
    <x v="2"/>
    <n v="9"/>
    <n v="6"/>
    <x v="0"/>
  </r>
  <r>
    <x v="6"/>
    <x v="1"/>
    <x v="33"/>
    <x v="2"/>
    <x v="2"/>
    <n v="7.4"/>
    <x v="0"/>
    <n v="2.5"/>
    <n v="3.93"/>
    <n v="0.8"/>
    <x v="1"/>
    <x v="0"/>
    <x v="6"/>
    <n v="4"/>
    <n v="8"/>
    <x v="0"/>
  </r>
  <r>
    <x v="3"/>
    <x v="0"/>
    <x v="7"/>
    <x v="2"/>
    <x v="2"/>
    <n v="6.1"/>
    <x v="0"/>
    <n v="1.2"/>
    <n v="2.56"/>
    <n v="1.4"/>
    <x v="0"/>
    <x v="0"/>
    <x v="1"/>
    <n v="6"/>
    <n v="3"/>
    <x v="0"/>
  </r>
  <r>
    <x v="0"/>
    <x v="1"/>
    <x v="43"/>
    <x v="1"/>
    <x v="2"/>
    <n v="5.4"/>
    <x v="0"/>
    <n v="1.6"/>
    <n v="3.34"/>
    <n v="1.5"/>
    <x v="0"/>
    <x v="2"/>
    <x v="6"/>
    <n v="5"/>
    <n v="8"/>
    <x v="0"/>
  </r>
  <r>
    <x v="2"/>
    <x v="1"/>
    <x v="27"/>
    <x v="2"/>
    <x v="0"/>
    <n v="7.3"/>
    <x v="0"/>
    <n v="1.2"/>
    <n v="3.39"/>
    <n v="0.7"/>
    <x v="1"/>
    <x v="2"/>
    <x v="8"/>
    <n v="10"/>
    <n v="8"/>
    <x v="0"/>
  </r>
  <r>
    <x v="3"/>
    <x v="1"/>
    <x v="3"/>
    <x v="0"/>
    <x v="1"/>
    <n v="8.6"/>
    <x v="1"/>
    <n v="1.4"/>
    <n v="2.19"/>
    <n v="1.8"/>
    <x v="0"/>
    <x v="0"/>
    <x v="7"/>
    <n v="10"/>
    <n v="1"/>
    <x v="0"/>
  </r>
  <r>
    <x v="3"/>
    <x v="1"/>
    <x v="3"/>
    <x v="0"/>
    <x v="1"/>
    <n v="8.9"/>
    <x v="1"/>
    <n v="2.9"/>
    <n v="3.39"/>
    <n v="1.1000000000000001"/>
    <x v="0"/>
    <x v="1"/>
    <x v="6"/>
    <n v="9"/>
    <n v="1"/>
    <x v="0"/>
  </r>
  <r>
    <x v="2"/>
    <x v="0"/>
    <x v="24"/>
    <x v="2"/>
    <x v="1"/>
    <n v="5.2"/>
    <x v="0"/>
    <n v="2.2000000000000002"/>
    <n v="2.98"/>
    <n v="0.8"/>
    <x v="1"/>
    <x v="1"/>
    <x v="4"/>
    <n v="8"/>
    <n v="7"/>
    <x v="0"/>
  </r>
  <r>
    <x v="6"/>
    <x v="1"/>
    <x v="38"/>
    <x v="0"/>
    <x v="2"/>
    <n v="7.2"/>
    <x v="0"/>
    <n v="1.1000000000000001"/>
    <n v="3.69"/>
    <n v="1"/>
    <x v="1"/>
    <x v="0"/>
    <x v="6"/>
    <n v="6"/>
    <n v="3"/>
    <x v="0"/>
  </r>
  <r>
    <x v="3"/>
    <x v="1"/>
    <x v="43"/>
    <x v="1"/>
    <x v="1"/>
    <n v="8.6"/>
    <x v="1"/>
    <n v="2.2999999999999998"/>
    <n v="3.68"/>
    <n v="0.5"/>
    <x v="1"/>
    <x v="0"/>
    <x v="2"/>
    <n v="2"/>
    <n v="7"/>
    <x v="0"/>
  </r>
  <r>
    <x v="6"/>
    <x v="1"/>
    <x v="13"/>
    <x v="2"/>
    <x v="1"/>
    <n v="8.6999999999999993"/>
    <x v="1"/>
    <n v="0.8"/>
    <n v="2.41"/>
    <n v="1.3"/>
    <x v="0"/>
    <x v="0"/>
    <x v="6"/>
    <n v="6"/>
    <n v="8"/>
    <x v="0"/>
  </r>
  <r>
    <x v="5"/>
    <x v="0"/>
    <x v="49"/>
    <x v="2"/>
    <x v="1"/>
    <n v="4.5999999999999996"/>
    <x v="0"/>
    <n v="1.1000000000000001"/>
    <n v="2.75"/>
    <n v="1.5"/>
    <x v="0"/>
    <x v="2"/>
    <x v="4"/>
    <n v="3"/>
    <n v="6"/>
    <x v="0"/>
  </r>
  <r>
    <x v="1"/>
    <x v="1"/>
    <x v="32"/>
    <x v="0"/>
    <x v="0"/>
    <n v="7.8"/>
    <x v="0"/>
    <n v="1"/>
    <n v="2.91"/>
    <n v="0.8"/>
    <x v="1"/>
    <x v="2"/>
    <x v="8"/>
    <n v="7"/>
    <n v="5"/>
    <x v="0"/>
  </r>
  <r>
    <x v="6"/>
    <x v="1"/>
    <x v="51"/>
    <x v="0"/>
    <x v="2"/>
    <n v="7.5"/>
    <x v="0"/>
    <n v="1.4"/>
    <n v="2.2400000000000002"/>
    <n v="0.1"/>
    <x v="1"/>
    <x v="0"/>
    <x v="5"/>
    <n v="3"/>
    <n v="3"/>
    <x v="0"/>
  </r>
  <r>
    <x v="6"/>
    <x v="1"/>
    <x v="0"/>
    <x v="0"/>
    <x v="1"/>
    <n v="4.0999999999999996"/>
    <x v="0"/>
    <n v="1.6"/>
    <n v="2.74"/>
    <n v="0.9"/>
    <x v="1"/>
    <x v="2"/>
    <x v="8"/>
    <n v="3"/>
    <n v="5"/>
    <x v="0"/>
  </r>
  <r>
    <x v="5"/>
    <x v="1"/>
    <x v="69"/>
    <x v="2"/>
    <x v="2"/>
    <n v="5.8"/>
    <x v="0"/>
    <n v="2.5"/>
    <n v="2.34"/>
    <n v="1"/>
    <x v="1"/>
    <x v="0"/>
    <x v="5"/>
    <n v="2"/>
    <n v="8"/>
    <x v="0"/>
  </r>
  <r>
    <x v="1"/>
    <x v="0"/>
    <x v="6"/>
    <x v="2"/>
    <x v="0"/>
    <n v="7.8"/>
    <x v="0"/>
    <n v="0.6"/>
    <n v="3.61"/>
    <n v="1.7"/>
    <x v="0"/>
    <x v="1"/>
    <x v="0"/>
    <n v="7"/>
    <n v="9"/>
    <x v="0"/>
  </r>
  <r>
    <x v="3"/>
    <x v="1"/>
    <x v="0"/>
    <x v="0"/>
    <x v="1"/>
    <n v="4.7"/>
    <x v="0"/>
    <n v="1.5"/>
    <n v="3.3"/>
    <n v="0"/>
    <x v="2"/>
    <x v="0"/>
    <x v="5"/>
    <n v="8"/>
    <n v="5"/>
    <x v="0"/>
  </r>
  <r>
    <x v="4"/>
    <x v="1"/>
    <x v="69"/>
    <x v="2"/>
    <x v="2"/>
    <n v="8.1999999999999993"/>
    <x v="1"/>
    <n v="0.5"/>
    <n v="3.15"/>
    <n v="1.2"/>
    <x v="0"/>
    <x v="2"/>
    <x v="1"/>
    <n v="7"/>
    <n v="7"/>
    <x v="0"/>
  </r>
  <r>
    <x v="2"/>
    <x v="1"/>
    <x v="60"/>
    <x v="0"/>
    <x v="2"/>
    <n v="7.1"/>
    <x v="0"/>
    <n v="1.1000000000000001"/>
    <n v="2.0699999999999998"/>
    <n v="1.9"/>
    <x v="0"/>
    <x v="1"/>
    <x v="3"/>
    <n v="2"/>
    <n v="6"/>
    <x v="0"/>
  </r>
  <r>
    <x v="6"/>
    <x v="0"/>
    <x v="2"/>
    <x v="1"/>
    <x v="1"/>
    <n v="4.4000000000000004"/>
    <x v="0"/>
    <n v="0.9"/>
    <n v="2.99"/>
    <n v="0"/>
    <x v="2"/>
    <x v="1"/>
    <x v="1"/>
    <n v="2"/>
    <n v="5"/>
    <x v="0"/>
  </r>
  <r>
    <x v="5"/>
    <x v="0"/>
    <x v="32"/>
    <x v="0"/>
    <x v="1"/>
    <n v="7"/>
    <x v="0"/>
    <n v="2.2000000000000002"/>
    <n v="2.0699999999999998"/>
    <n v="1"/>
    <x v="1"/>
    <x v="2"/>
    <x v="3"/>
    <n v="7"/>
    <n v="1"/>
    <x v="0"/>
  </r>
  <r>
    <x v="4"/>
    <x v="0"/>
    <x v="39"/>
    <x v="2"/>
    <x v="0"/>
    <n v="6.7"/>
    <x v="0"/>
    <n v="2.5"/>
    <n v="3.19"/>
    <n v="1"/>
    <x v="1"/>
    <x v="1"/>
    <x v="5"/>
    <n v="5"/>
    <n v="5"/>
    <x v="0"/>
  </r>
  <r>
    <x v="5"/>
    <x v="0"/>
    <x v="38"/>
    <x v="0"/>
    <x v="1"/>
    <n v="7.7"/>
    <x v="0"/>
    <n v="1.9"/>
    <n v="2.2400000000000002"/>
    <n v="0.6"/>
    <x v="1"/>
    <x v="1"/>
    <x v="1"/>
    <n v="10"/>
    <n v="5"/>
    <x v="0"/>
  </r>
  <r>
    <x v="0"/>
    <x v="1"/>
    <x v="12"/>
    <x v="2"/>
    <x v="1"/>
    <n v="6.4"/>
    <x v="0"/>
    <n v="1.9"/>
    <n v="3.3"/>
    <n v="1.3"/>
    <x v="0"/>
    <x v="1"/>
    <x v="4"/>
    <n v="8"/>
    <n v="5"/>
    <x v="0"/>
  </r>
  <r>
    <x v="4"/>
    <x v="1"/>
    <x v="33"/>
    <x v="2"/>
    <x v="2"/>
    <n v="7.3"/>
    <x v="0"/>
    <n v="1.7"/>
    <n v="3.33"/>
    <n v="0.9"/>
    <x v="1"/>
    <x v="0"/>
    <x v="9"/>
    <n v="4"/>
    <n v="9"/>
    <x v="0"/>
  </r>
  <r>
    <x v="2"/>
    <x v="0"/>
    <x v="15"/>
    <x v="2"/>
    <x v="1"/>
    <n v="7.7"/>
    <x v="0"/>
    <n v="2.2000000000000002"/>
    <n v="3.72"/>
    <n v="1.4"/>
    <x v="0"/>
    <x v="2"/>
    <x v="2"/>
    <n v="5"/>
    <n v="8"/>
    <x v="0"/>
  </r>
  <r>
    <x v="6"/>
    <x v="0"/>
    <x v="58"/>
    <x v="2"/>
    <x v="2"/>
    <n v="6.2"/>
    <x v="0"/>
    <n v="0.8"/>
    <n v="3.96"/>
    <n v="1.1000000000000001"/>
    <x v="0"/>
    <x v="0"/>
    <x v="8"/>
    <n v="10"/>
    <n v="3"/>
    <x v="0"/>
  </r>
  <r>
    <x v="2"/>
    <x v="1"/>
    <x v="54"/>
    <x v="2"/>
    <x v="2"/>
    <n v="4.2"/>
    <x v="0"/>
    <n v="2.2000000000000002"/>
    <n v="2.27"/>
    <n v="0.5"/>
    <x v="1"/>
    <x v="2"/>
    <x v="2"/>
    <n v="4"/>
    <n v="5"/>
    <x v="0"/>
  </r>
  <r>
    <x v="6"/>
    <x v="0"/>
    <x v="62"/>
    <x v="2"/>
    <x v="0"/>
    <n v="8.6"/>
    <x v="1"/>
    <n v="1.9"/>
    <n v="3.88"/>
    <n v="0.2"/>
    <x v="1"/>
    <x v="2"/>
    <x v="2"/>
    <n v="6"/>
    <n v="9"/>
    <x v="0"/>
  </r>
  <r>
    <x v="3"/>
    <x v="0"/>
    <x v="49"/>
    <x v="2"/>
    <x v="1"/>
    <n v="5.5"/>
    <x v="0"/>
    <n v="0.7"/>
    <n v="2.13"/>
    <n v="0.5"/>
    <x v="1"/>
    <x v="2"/>
    <x v="4"/>
    <n v="10"/>
    <n v="8"/>
    <x v="0"/>
  </r>
  <r>
    <x v="1"/>
    <x v="1"/>
    <x v="35"/>
    <x v="2"/>
    <x v="0"/>
    <n v="4.9000000000000004"/>
    <x v="0"/>
    <n v="0.5"/>
    <n v="3.68"/>
    <n v="1.7"/>
    <x v="0"/>
    <x v="1"/>
    <x v="1"/>
    <n v="4"/>
    <n v="3"/>
    <x v="0"/>
  </r>
  <r>
    <x v="5"/>
    <x v="0"/>
    <x v="20"/>
    <x v="2"/>
    <x v="1"/>
    <n v="5.3"/>
    <x v="0"/>
    <n v="2.4"/>
    <n v="3.01"/>
    <n v="1.6"/>
    <x v="0"/>
    <x v="2"/>
    <x v="0"/>
    <n v="9"/>
    <n v="1"/>
    <x v="0"/>
  </r>
  <r>
    <x v="6"/>
    <x v="1"/>
    <x v="19"/>
    <x v="2"/>
    <x v="0"/>
    <n v="7.5"/>
    <x v="0"/>
    <n v="1.7"/>
    <n v="3.12"/>
    <n v="2"/>
    <x v="0"/>
    <x v="2"/>
    <x v="2"/>
    <n v="4"/>
    <n v="9"/>
    <x v="0"/>
  </r>
  <r>
    <x v="4"/>
    <x v="0"/>
    <x v="19"/>
    <x v="2"/>
    <x v="0"/>
    <n v="6.7"/>
    <x v="0"/>
    <n v="2.1"/>
    <n v="2.5"/>
    <n v="0.1"/>
    <x v="1"/>
    <x v="2"/>
    <x v="1"/>
    <n v="1"/>
    <n v="5"/>
    <x v="0"/>
  </r>
  <r>
    <x v="3"/>
    <x v="0"/>
    <x v="30"/>
    <x v="2"/>
    <x v="1"/>
    <n v="6.8"/>
    <x v="0"/>
    <n v="1.8"/>
    <n v="2.59"/>
    <n v="1.9"/>
    <x v="0"/>
    <x v="1"/>
    <x v="7"/>
    <n v="5"/>
    <n v="5"/>
    <x v="0"/>
  </r>
  <r>
    <x v="1"/>
    <x v="1"/>
    <x v="24"/>
    <x v="2"/>
    <x v="2"/>
    <n v="9"/>
    <x v="1"/>
    <n v="2.9"/>
    <n v="2.4700000000000002"/>
    <n v="1.7"/>
    <x v="0"/>
    <x v="2"/>
    <x v="3"/>
    <n v="7"/>
    <n v="9"/>
    <x v="0"/>
  </r>
  <r>
    <x v="1"/>
    <x v="0"/>
    <x v="63"/>
    <x v="1"/>
    <x v="2"/>
    <n v="4.5"/>
    <x v="0"/>
    <n v="2.2999999999999998"/>
    <n v="3.9"/>
    <n v="0"/>
    <x v="2"/>
    <x v="2"/>
    <x v="0"/>
    <n v="8"/>
    <n v="10"/>
    <x v="0"/>
  </r>
  <r>
    <x v="1"/>
    <x v="0"/>
    <x v="22"/>
    <x v="2"/>
    <x v="1"/>
    <n v="9"/>
    <x v="1"/>
    <n v="2.4"/>
    <n v="3.13"/>
    <n v="0.5"/>
    <x v="1"/>
    <x v="1"/>
    <x v="5"/>
    <n v="3"/>
    <n v="3"/>
    <x v="0"/>
  </r>
  <r>
    <x v="4"/>
    <x v="0"/>
    <x v="25"/>
    <x v="1"/>
    <x v="2"/>
    <n v="5.4"/>
    <x v="0"/>
    <n v="2"/>
    <n v="3.2"/>
    <n v="1.8"/>
    <x v="0"/>
    <x v="0"/>
    <x v="1"/>
    <n v="8"/>
    <n v="3"/>
    <x v="0"/>
  </r>
  <r>
    <x v="4"/>
    <x v="0"/>
    <x v="23"/>
    <x v="2"/>
    <x v="0"/>
    <n v="8.9"/>
    <x v="1"/>
    <n v="0.8"/>
    <n v="2.96"/>
    <n v="0.5"/>
    <x v="1"/>
    <x v="2"/>
    <x v="4"/>
    <n v="2"/>
    <n v="2"/>
    <x v="0"/>
  </r>
  <r>
    <x v="2"/>
    <x v="1"/>
    <x v="3"/>
    <x v="0"/>
    <x v="0"/>
    <n v="7.4"/>
    <x v="0"/>
    <n v="2"/>
    <n v="3.76"/>
    <n v="1.7"/>
    <x v="0"/>
    <x v="1"/>
    <x v="7"/>
    <n v="1"/>
    <n v="4"/>
    <x v="0"/>
  </r>
  <r>
    <x v="0"/>
    <x v="1"/>
    <x v="25"/>
    <x v="1"/>
    <x v="1"/>
    <n v="4.8"/>
    <x v="0"/>
    <n v="2.4"/>
    <n v="2.97"/>
    <n v="1.9"/>
    <x v="0"/>
    <x v="0"/>
    <x v="8"/>
    <n v="9"/>
    <n v="10"/>
    <x v="0"/>
  </r>
  <r>
    <x v="2"/>
    <x v="1"/>
    <x v="55"/>
    <x v="2"/>
    <x v="0"/>
    <n v="8.4"/>
    <x v="1"/>
    <n v="0.9"/>
    <n v="3.6"/>
    <n v="1.9"/>
    <x v="0"/>
    <x v="1"/>
    <x v="2"/>
    <n v="2"/>
    <n v="2"/>
    <x v="0"/>
  </r>
  <r>
    <x v="1"/>
    <x v="0"/>
    <x v="48"/>
    <x v="0"/>
    <x v="1"/>
    <n v="4.7"/>
    <x v="0"/>
    <n v="0.5"/>
    <n v="2.1800000000000002"/>
    <n v="0.6"/>
    <x v="1"/>
    <x v="2"/>
    <x v="1"/>
    <n v="8"/>
    <n v="6"/>
    <x v="1"/>
  </r>
  <r>
    <x v="6"/>
    <x v="0"/>
    <x v="53"/>
    <x v="0"/>
    <x v="1"/>
    <n v="5.9"/>
    <x v="0"/>
    <n v="1.5"/>
    <n v="3.31"/>
    <n v="1.9"/>
    <x v="0"/>
    <x v="1"/>
    <x v="7"/>
    <n v="1"/>
    <n v="10"/>
    <x v="0"/>
  </r>
  <r>
    <x v="6"/>
    <x v="1"/>
    <x v="8"/>
    <x v="0"/>
    <x v="0"/>
    <n v="8.1"/>
    <x v="1"/>
    <n v="2.1"/>
    <n v="2.52"/>
    <n v="0.4"/>
    <x v="1"/>
    <x v="2"/>
    <x v="3"/>
    <n v="3"/>
    <n v="7"/>
    <x v="0"/>
  </r>
  <r>
    <x v="2"/>
    <x v="0"/>
    <x v="23"/>
    <x v="2"/>
    <x v="2"/>
    <n v="4.5"/>
    <x v="0"/>
    <n v="1.7"/>
    <n v="2.65"/>
    <n v="0"/>
    <x v="2"/>
    <x v="2"/>
    <x v="8"/>
    <n v="4"/>
    <n v="2"/>
    <x v="0"/>
  </r>
  <r>
    <x v="4"/>
    <x v="1"/>
    <x v="11"/>
    <x v="2"/>
    <x v="0"/>
    <n v="6.6"/>
    <x v="0"/>
    <n v="2"/>
    <n v="2.76"/>
    <n v="1"/>
    <x v="1"/>
    <x v="0"/>
    <x v="3"/>
    <n v="4"/>
    <n v="4"/>
    <x v="0"/>
  </r>
  <r>
    <x v="5"/>
    <x v="0"/>
    <x v="21"/>
    <x v="2"/>
    <x v="2"/>
    <n v="8"/>
    <x v="1"/>
    <n v="1.9"/>
    <n v="2.12"/>
    <n v="0.4"/>
    <x v="1"/>
    <x v="1"/>
    <x v="9"/>
    <n v="4"/>
    <n v="4"/>
    <x v="0"/>
  </r>
  <r>
    <x v="0"/>
    <x v="1"/>
    <x v="65"/>
    <x v="1"/>
    <x v="2"/>
    <n v="8.6999999999999993"/>
    <x v="1"/>
    <n v="0.7"/>
    <n v="3.98"/>
    <n v="0.8"/>
    <x v="1"/>
    <x v="1"/>
    <x v="2"/>
    <n v="1"/>
    <n v="1"/>
    <x v="0"/>
  </r>
  <r>
    <x v="3"/>
    <x v="0"/>
    <x v="40"/>
    <x v="2"/>
    <x v="2"/>
    <n v="8.5"/>
    <x v="1"/>
    <n v="2.1"/>
    <n v="3.19"/>
    <n v="0.6"/>
    <x v="1"/>
    <x v="1"/>
    <x v="9"/>
    <n v="9"/>
    <n v="9"/>
    <x v="0"/>
  </r>
  <r>
    <x v="5"/>
    <x v="1"/>
    <x v="4"/>
    <x v="2"/>
    <x v="1"/>
    <n v="6.5"/>
    <x v="0"/>
    <n v="1"/>
    <n v="2.91"/>
    <n v="0.9"/>
    <x v="1"/>
    <x v="2"/>
    <x v="5"/>
    <n v="7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CD4C1-F2E8-439B-984D-AED7C8F82D06}" name="Сводная таблица14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20" rowHeaderCaption="Social media level">
  <location ref="H32:K36" firstHeaderRow="0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ress" fld="12" subtotal="average" baseField="3" baseItem="0"/>
    <dataField name="Anxiety" fld="13" subtotal="average" baseField="3" baseItem="2"/>
    <dataField name="Addiction" fld="14" subtotal="average" baseField="3" baseItem="2"/>
  </dataFields>
  <formats count="1">
    <format dxfId="0">
      <pivotArea outline="0" collapsedLevelsAreSubtotals="1" fieldPosition="0"/>
    </format>
  </format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18048-9911-440F-9F34-002393F09B26}" name="Сводная таблица6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3" rowHeaderCaption="Depression">
  <location ref="B6:C9" firstHeaderRow="1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5">
        <item n="No " x="0"/>
        <item n="Yes " x="1"/>
        <item m="1" x="2"/>
        <item m="1" x="3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Depression ratio" fld="15" subtotal="count" showDataAs="percentOfTotal" baseField="0" baseItem="0" numFmtId="10"/>
  </dataFields>
  <formats count="2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E56AD-9BE8-4D8B-A481-87C8A622C99D}" name="Сводная таблица1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49" rowHeaderCaption="Age" colHeaderCaption="">
  <location ref="E6:H15" firstHeaderRow="1" firstDataRow="2" firstDataCol="1"/>
  <pivotFields count="16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>
      <items count="5">
        <item m="1" x="2"/>
        <item m="1" x="3"/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eens with depression" fld="15" baseField="1" baseItem="0"/>
  </dataFields>
  <formats count="2">
    <format dxfId="4">
      <pivotArea grandRow="1" outline="0" collapsedLevelsAreSubtotals="1" fieldPosition="0"/>
    </format>
    <format dxfId="3">
      <pivotArea type="origin" dataOnly="0" labelOnly="1" outline="0" fieldPosition="0"/>
    </format>
  </formats>
  <chartFormats count="2">
    <chartFormat chart="3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4E39F-4421-4DCB-ADAB-156F9BEF3D5A}" name="Сводная таблица2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57" rowHeaderCaption="gender">
  <location ref="N6:Q9" firstHeaderRow="0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>
      <items count="11">
        <item x="2"/>
        <item x="0"/>
        <item x="3"/>
        <item x="6"/>
        <item x="5"/>
        <item x="4"/>
        <item x="9"/>
        <item x="1"/>
        <item x="8"/>
        <item x="7"/>
        <item t="default"/>
      </items>
    </pivotField>
    <pivotField dataField="1"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ress" fld="12" subtotal="average" baseField="0" baseItem="0" numFmtId="2"/>
    <dataField name="Anxiety" fld="13" subtotal="average" baseField="1" baseItem="0"/>
    <dataField name="Addiction" fld="14" subtotal="average" baseField="1" baseItem="0"/>
  </dataFields>
  <formats count="5"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ECF4F-F2F5-4148-A169-B0B343BBF2ED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23:B24" firstHeaderRow="1" firstDataRow="1" firstDataCol="0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g anxiety level" fld="13" subtotal="average" baseField="0" baseItem="0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E2F9E-6ADF-46CE-B162-654554FB8FD1}" name="Сводная таблица1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55:B56" firstHeaderRow="1" firstDataRow="1" firstDataCol="0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sleep hours" fld="5" subtotal="average" baseField="0" baseItem="0" numFmtId="2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C66F6-A968-4136-B9C6-879FD3C7E4CF}" name="Сводная таблица10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20" rowHeaderCaption="Depression">
  <location ref="B37:C40" firstHeaderRow="1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n="No depression" x="0"/>
        <item n="With depression" x="1"/>
        <item m="1" x="2"/>
        <item m="1" x="3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g daily social media hours" fld="2" subtotal="average" baseField="0" baseItem="0" numFmtId="2"/>
  </dataFields>
  <formats count="1">
    <format dxfId="14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ACED0-B52D-435B-934C-8C3E89364B1E}" name="Сводная таблица27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5" rowHeaderCaption="Social interraction level">
  <location ref="M56:N60" firstHeaderRow="1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>
      <items count="11">
        <item x="2"/>
        <item x="0"/>
        <item x="3"/>
        <item x="6"/>
        <item x="5"/>
        <item x="4"/>
        <item x="9"/>
        <item x="1"/>
        <item x="8"/>
        <item x="7"/>
        <item t="default"/>
      </items>
    </pivotField>
    <pivotField showAll="0"/>
    <pivotField showAll="0"/>
    <pivotField showAll="0">
      <items count="5">
        <item n="No depression" x="0"/>
        <item n="With depression" x="1"/>
        <item m="1" x="2"/>
        <item m="1"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ate" fld="11" subtotal="count" baseField="0" baseItem="0"/>
  </dataFields>
  <formats count="2">
    <format dxfId="16">
      <pivotArea outline="0" collapsedLevelsAreSubtotals="1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313B9-C848-49E5-8B66-D5703E2C758C}" name="Сводная таблица2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>
  <location ref="D64:F67" firstHeaderRow="0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5">
        <item n="No depression" x="0"/>
        <item n="With depression" x="1"/>
        <item m="1" x="2"/>
        <item m="1" x="3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leep time" fld="5" subtotal="average" baseField="15" baseItem="0" numFmtId="2"/>
    <dataField name="Physical activity" fld="9" subtotal="average" baseField="15" baseItem="1" numFmtId="164"/>
  </dataFields>
  <formats count="1">
    <format dxfId="17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4656D-E343-4840-B5CE-49BDE46A9E40}" name="Сводная таблица5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19" rowHeaderCaption="Gender" colHeaderCaption="Depression">
  <location ref="J6:L10" firstHeaderRow="1" firstDataRow="2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Col" showAll="0">
      <items count="5">
        <item h="1" x="0"/>
        <item n="Yes " x="1"/>
        <item m="1" x="2"/>
        <item m="1"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5"/>
  </colFields>
  <colItems count="2">
    <i>
      <x v="1"/>
    </i>
    <i t="grand">
      <x/>
    </i>
  </colItems>
  <dataFields count="1">
    <dataField name="Number of teens" fld="1" subtotal="count" baseField="1" baseItem="0"/>
  </dataFields>
  <chartFormats count="4"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5" count="1" selected="0">
            <x v="1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1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1270C-B26C-4415-9724-AEBF3A8B892E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19:B20" firstHeaderRow="1" firstDataRow="1" firstDataCol="0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g stress level" fld="12" subtotal="average" baseField="0" baseItem="0" numFmtId="2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CFC21-4E89-462E-8A91-4DFA4197A5C4}" name="Сводная таблица2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 rowHeaderCaption="Sleep level">
  <location ref="H64:K68" firstHeaderRow="0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ress" fld="12" subtotal="average" baseField="6" baseItem="0"/>
    <dataField name="Anxiety" fld="13" subtotal="average" baseField="6" baseItem="0"/>
    <dataField name="Addiction" fld="14" subtotal="average" baseField="6" baseItem="0"/>
  </dataFields>
  <formats count="1">
    <format dxfId="20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5C356-062F-42E4-BDFE-656DEB741A70}" name="Сводная таблица25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5" rowHeaderCaption="Depression">
  <location ref="E20:H23" firstHeaderRow="0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dataField="1" showAll="0"/>
    <pivotField dataField="1" showAll="0"/>
    <pivotField axis="axisRow" showAll="0">
      <items count="5">
        <item n="No depression" x="0"/>
        <item n="With depression" x="1"/>
        <item m="1" x="2"/>
        <item m="1" x="3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ress" fld="12" subtotal="average" baseField="15" baseItem="0"/>
    <dataField name="Anxiety " fld="13" subtotal="average" baseField="15" baseItem="0"/>
    <dataField name="Addiction" fld="14" subtotal="average" baseField="15" baseItem="0"/>
  </dataFields>
  <formats count="1">
    <format dxfId="21">
      <pivotArea outline="0" collapsedLevelsAreSubtotals="1" fieldPosition="0"/>
    </format>
  </formats>
  <chartFormats count="6"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434D1-0E56-4666-91B8-4B7ADE981302}" name="Сводная таблица1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60:B61" firstHeaderRow="1" firstDataRow="1" firstDataCol="0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physical activity hours" fld="9" subtotal="average" baseField="0" baseItem="0" numFmtId="2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2B7ED-BCE7-49E7-9FEB-9EE86D3B723C}" name="Сводная таблица1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65:B66" firstHeaderRow="1" firstDataRow="1" firstDataCol="0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g screen time before sleep" fld="7" subtotal="average" baseField="0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75750-1F34-4E8B-8F9E-7B166E79DD33}" name="Сводная таблица1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 rowHeaderCaption="Platform">
  <location ref="B45:C49" firstHeaderRow="1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teens" fld="4" subtotal="count" showDataAs="percentOfTotal" baseField="0" baseItem="0" numFmtId="10"/>
  </dataFields>
  <chartFormats count="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6A7B0-30D0-4641-A747-C7CAE9E6EDDE}" name="Сводная таблица9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31:B32" firstHeaderRow="1" firstDataRow="1" firstDataCol="0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g social media hours" fld="2" subtotal="average" baseField="0" baseItem="0" numFmtId="2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25308-607B-403A-BE81-4C5798683141}" name="Сводная таблица4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rowHeaderCaption="Depression">
  <location ref="B14:C16" firstHeaderRow="1" firstDataRow="1" firstDataCol="1"/>
  <pivotFields count="16">
    <pivotField dataField="1"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h="1" x="0"/>
        <item n="Yes " x="1"/>
        <item m="1" x="2"/>
        <item m="1" x="3"/>
        <item t="default"/>
      </items>
    </pivotField>
  </pivotFields>
  <rowFields count="1">
    <field x="15"/>
  </rowFields>
  <rowItems count="2">
    <i>
      <x v="1"/>
    </i>
    <i t="grand">
      <x/>
    </i>
  </rowItems>
  <colItems count="1">
    <i/>
  </colItems>
  <dataFields count="1">
    <dataField name="Average age" fld="0" subtotal="average" baseField="0" baseItem="0" numFmtId="164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5C984-E517-4298-90A0-DF52A0C54FE5}" name="Сводная таблица1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4" rowHeaderCaption="Social media level">
  <location ref="E32:F36" firstHeaderRow="1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teens" fld="3" subtotal="count" baseField="0" baseItem="0" numFmtId="1"/>
  </dataFields>
  <formats count="2">
    <format dxfId="28">
      <pivotArea outline="0" collapsedLevelsAreSubtotals="1" fieldPosition="0"/>
    </format>
    <format dxfId="27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0B27D-46C7-4EF5-9EA8-1B81D7EFFC97}" name="Сводная таблица3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71" rowHeaderCaption="age">
  <location ref="J16:M24" firstHeaderRow="0" firstDataRow="1" firstDataCol="1"/>
  <pivotFields count="16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>
      <items count="11">
        <item x="2"/>
        <item x="0"/>
        <item x="3"/>
        <item x="6"/>
        <item x="5"/>
        <item x="4"/>
        <item x="9"/>
        <item x="1"/>
        <item x="8"/>
        <item x="7"/>
        <item t="default"/>
      </items>
    </pivotField>
    <pivotField dataField="1"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ress" fld="12" subtotal="average" baseField="0" baseItem="0" numFmtId="2"/>
    <dataField name="Anxiety" fld="13" subtotal="average" baseField="1" baseItem="0"/>
    <dataField name="Addiction" fld="14" subtotal="average" baseField="1" baseItem="0"/>
  </dataFields>
  <formats count="8"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">
      <pivotArea field="0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45A5A-CCF8-4C7C-80C0-9CED133CD8C0}" name="Сводная таблица2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 rowHeaderCaption="Sleep level">
  <location ref="H56:K59" firstHeaderRow="0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ress" fld="12" subtotal="average" baseField="6" baseItem="0"/>
    <dataField name="Anxiety" fld="13" subtotal="average" baseField="6" baseItem="0"/>
    <dataField name="Addiction" fld="14" subtotal="average" baseField="6" baseItem="0"/>
  </dataFields>
  <formats count="1">
    <format dxfId="37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CFB5A-ECFB-4344-BD06-FEF3690727D9}" name="Сводная таблица18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11" rowHeaderCaption="Sleep level">
  <location ref="D56:E59" firstHeaderRow="1" firstDataRow="1" firstDataCol="1"/>
  <pivotFields count="16">
    <pivotField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Rate" fld="6" subtotal="count" showDataAs="percentOfTotal" baseField="0" baseItem="0" numFmtId="10"/>
  </dataFields>
  <formats count="2">
    <format dxfId="39">
      <pivotArea outline="0" collapsedLevelsAreSubtotals="1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2A6A4-B64D-45AB-82FE-448C67146683}" name="Сводная таблица13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chartFormat="9" rowHeaderCaption="Age">
  <location ref="E41:F49" firstHeaderRow="1" firstDataRow="1" firstDataCol="1"/>
  <pivotFields count="16">
    <pivotField axis="axisRow" showAll="0">
      <items count="8">
        <item x="6"/>
        <item x="0"/>
        <item x="3"/>
        <item x="5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>
      <items count="5">
        <item x="0"/>
        <item x="1"/>
        <item m="1" x="2"/>
        <item m="1"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Daily social media hours" fld="2" subtotal="average" baseField="0" baseItem="0" numFmtId="2"/>
  </dataFields>
  <formats count="1">
    <format dxfId="4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ACD529-C7D0-4F80-A33C-37B678F3E406}" autoFormatId="16" applyNumberFormats="0" applyBorderFormats="0" applyFontFormats="0" applyPatternFormats="0" applyAlignmentFormats="0" applyWidthHeightFormats="0">
  <queryTableRefresh nextId="17">
    <queryTableFields count="16">
      <queryTableField id="1" name="age" tableColumnId="1"/>
      <queryTableField id="2" name="gender" tableColumnId="2"/>
      <queryTableField id="3" name="daily_social_media_hours" tableColumnId="3"/>
      <queryTableField id="16" dataBound="0" tableColumnId="15"/>
      <queryTableField id="4" name="platform_usage" tableColumnId="4"/>
      <queryTableField id="5" name="sleep_hours" tableColumnId="5"/>
      <queryTableField id="15" dataBound="0" tableColumnId="14"/>
      <queryTableField id="6" name="screen_time_before_sleep" tableColumnId="6"/>
      <queryTableField id="7" name="academic_performance" tableColumnId="7"/>
      <queryTableField id="8" name="physical_activity" tableColumnId="8"/>
      <queryTableField id="14" dataBound="0" tableColumnId="16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age" xr10:uid="{E8D1886B-FA3F-4955-9B05-E1D1FAAD1EAB}" sourceName="age">
  <pivotTables>
    <pivotTable tabId="6" name="Сводная таблица1"/>
    <pivotTable tabId="6" name="Сводная таблица2"/>
    <pivotTable tabId="6" name="Сводная таблица3"/>
    <pivotTable tabId="6" name="Сводная таблица4"/>
    <pivotTable tabId="6" name="Сводная таблица5"/>
    <pivotTable tabId="6" name="Сводная таблица6"/>
    <pivotTable tabId="6" name="Сводная таблица7"/>
    <pivotTable tabId="6" name="Сводная таблица8"/>
    <pivotTable tabId="6" name="Сводная таблица10"/>
    <pivotTable tabId="6" name="Сводная таблица13"/>
    <pivotTable tabId="6" name="Сводная таблица14"/>
    <pivotTable tabId="6" name="Сводная таблица16"/>
    <pivotTable tabId="6" name="Сводная таблица17"/>
    <pivotTable tabId="6" name="Сводная таблица9"/>
    <pivotTable tabId="6" name="Сводная таблица25"/>
    <pivotTable tabId="6" name="Сводная таблица11"/>
    <pivotTable tabId="6" name="Сводная таблица15"/>
    <pivotTable tabId="6" name="Сводная таблица18"/>
    <pivotTable tabId="6" name="Сводная таблица20"/>
    <pivotTable tabId="6" name="Сводная таблица27"/>
    <pivotTable tabId="6" name="Сводная таблица12"/>
    <pivotTable tabId="6" name="Сводная таблица26"/>
    <pivotTable tabId="6" name="Сводная таблица23"/>
  </pivotTables>
  <data>
    <tabular pivotCacheId="461486415">
      <items count="7">
        <i x="6" s="1"/>
        <i x="0" s="1"/>
        <i x="3" s="1"/>
        <i x="5" s="1"/>
        <i x="2" s="1"/>
        <i x="4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ender" xr10:uid="{5C464373-AE75-4149-9850-90370DDA8D53}" sourceName="gender">
  <pivotTables>
    <pivotTable tabId="6" name="Сводная таблица1"/>
    <pivotTable tabId="6" name="Сводная таблица10"/>
    <pivotTable tabId="6" name="Сводная таблица13"/>
    <pivotTable tabId="6" name="Сводная таблица14"/>
    <pivotTable tabId="6" name="Сводная таблица16"/>
    <pivotTable tabId="6" name="Сводная таблица17"/>
    <pivotTable tabId="6" name="Сводная таблица2"/>
    <pivotTable tabId="6" name="Сводная таблица3"/>
    <pivotTable tabId="6" name="Сводная таблица4"/>
    <pivotTable tabId="6" name="Сводная таблица5"/>
    <pivotTable tabId="6" name="Сводная таблица6"/>
    <pivotTable tabId="6" name="Сводная таблица7"/>
    <pivotTable tabId="6" name="Сводная таблица8"/>
    <pivotTable tabId="6" name="Сводная таблица9"/>
    <pivotTable tabId="6" name="Сводная таблица25"/>
    <pivotTable tabId="6" name="Сводная таблица11"/>
    <pivotTable tabId="6" name="Сводная таблица12"/>
    <pivotTable tabId="6" name="Сводная таблица15"/>
    <pivotTable tabId="6" name="Сводная таблица18"/>
    <pivotTable tabId="6" name="Сводная таблица20"/>
    <pivotTable tabId="6" name="Сводная таблица27"/>
    <pivotTable tabId="6" name="Сводная таблица26"/>
    <pivotTable tabId="6" name="Сводная таблица23"/>
  </pivotTables>
  <data>
    <tabular pivotCacheId="461486415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" xr10:uid="{F568BED6-92A1-442D-B774-C205FD595F93}" cache="Срез_age" caption="age" style="SlicerStyleLight5" rowHeight="241300"/>
  <slicer name="gender" xr10:uid="{F04ED409-DF08-452D-95A5-A4FEA6FBC927}" cache="Срез_gender" caption="gender" style="SlicerStyleLight5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 1" xr10:uid="{A8DE5EC0-9788-48E0-9C3E-93D9AC4E4EA6}" cache="Срез_age" caption="age" style="SlicerStyleLight5" rowHeight="241300"/>
  <slicer name="gender 1" xr10:uid="{265974D1-C293-420E-8E77-72F3C80C12F9}" cache="Срез_gender" caption="gender" style="SlicerStyleLight5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 2" xr10:uid="{77A25409-D634-4795-B6CA-E0FB89602581}" cache="Срез_age" caption="age" style="SlicerStyleLight5" rowHeight="241300"/>
  <slicer name="gender 2" xr10:uid="{8847F2D8-5134-4644-B963-88E49F3E47AA}" cache="Срез_gender" caption="gender" style="SlicerStyleLight5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995B7-FA54-4F95-A99E-0D05395C9CD4}" name="Teen_Mental_Health_Dataset__22" displayName="Teen_Mental_Health_Dataset__22" ref="A1:P1201" tableType="queryTable" totalsRowShown="0">
  <autoFilter ref="A1:P1201" xr:uid="{2A3AEE31-E648-44EC-AF79-A4D548798041}"/>
  <tableColumns count="16">
    <tableColumn id="1" xr3:uid="{01C65C33-F647-45D8-B5EC-6B8B73977007}" uniqueName="1" name="Age" queryTableFieldId="1"/>
    <tableColumn id="2" xr3:uid="{D3F296E6-D2C5-450F-BABB-77FC8059BBE6}" uniqueName="2" name="Gender" queryTableFieldId="2" dataDxfId="52"/>
    <tableColumn id="3" xr3:uid="{D535CF4D-260A-453A-9E75-DE64341EE090}" uniqueName="3" name="daily_social_media_hours" queryTableFieldId="3" dataDxfId="51"/>
    <tableColumn id="15" xr3:uid="{D906B656-8A89-49E5-B640-7561FBE1FFDC}" uniqueName="15" name="social_media_level" queryTableFieldId="16" dataDxfId="50">
      <calculatedColumnFormula>IF(C2&lt;2,"Low",IF(C2&lt;7,"Medium","High"))</calculatedColumnFormula>
    </tableColumn>
    <tableColumn id="4" xr3:uid="{25941772-4A61-4F0A-9D4E-865065410B78}" uniqueName="4" name="platform" queryTableFieldId="4" dataDxfId="49"/>
    <tableColumn id="5" xr3:uid="{B1EAFC1A-077C-431B-B9D9-EE25B734E620}" uniqueName="5" name="sleep_hours" queryTableFieldId="5" dataDxfId="48"/>
    <tableColumn id="14" xr3:uid="{493E105A-BAE3-4B18-82AE-84B7DB9E4F40}" uniqueName="14" name="sleep_duration" queryTableFieldId="15" dataDxfId="47">
      <calculatedColumnFormula>IF(F2&gt;=8,"Normal","Low")</calculatedColumnFormula>
    </tableColumn>
    <tableColumn id="6" xr3:uid="{1371680C-7E03-41F0-8762-D0C6D7B78682}" uniqueName="6" name="screen_time_before_sleep" queryTableFieldId="6" dataDxfId="46"/>
    <tableColumn id="7" xr3:uid="{7582A1EA-E5E0-4C82-969B-B338496D693E}" uniqueName="7" name="academic_performance" queryTableFieldId="7" dataDxfId="45"/>
    <tableColumn id="8" xr3:uid="{F716E85B-FDDB-45EE-89E3-A158751FC902}" uniqueName="8" name="physical_activity" queryTableFieldId="8" dataDxfId="44"/>
    <tableColumn id="16" xr3:uid="{41FB9155-9598-4BB0-998A-4F6BD33E232B}" uniqueName="16" name="activity_brackets" queryTableFieldId="14" dataDxfId="43">
      <calculatedColumnFormula>IF(J2=0,"No activity",IF(J2&lt;=1,"0-1 hours","1-2 hours"))</calculatedColumnFormula>
    </tableColumn>
    <tableColumn id="9" xr3:uid="{DF240AD6-A1D1-4B30-AB65-CE797D1619F7}" uniqueName="9" name="social_interaction_level" queryTableFieldId="9" dataDxfId="42"/>
    <tableColumn id="10" xr3:uid="{3EEE9D99-EE5B-42D4-9876-CFE01B119964}" uniqueName="10" name="stress_level" queryTableFieldId="10"/>
    <tableColumn id="11" xr3:uid="{59E9D9C4-843F-426B-B846-AA6CB3D6DF05}" uniqueName="11" name="anxiety_level" queryTableFieldId="11"/>
    <tableColumn id="12" xr3:uid="{AE734D82-5131-4B8F-A8CF-896EE10946E8}" uniqueName="12" name="addiction_level" queryTableFieldId="12"/>
    <tableColumn id="13" xr3:uid="{140012D8-43CA-48D2-9C9B-67EED5ED8C54}" uniqueName="13" name="depression_label" queryTableFieldId="13" dataDxfId="4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Другая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DE8A8A"/>
      </a:accent2>
      <a:accent3>
        <a:srgbClr val="DBDBDB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22E9-7B8B-430D-A2B9-C8FE16A5C30D}">
  <dimension ref="A1:P1201"/>
  <sheetViews>
    <sheetView tabSelected="1" zoomScaleNormal="100" workbookViewId="0">
      <selection activeCell="F9" sqref="F9"/>
    </sheetView>
  </sheetViews>
  <sheetFormatPr defaultRowHeight="15" x14ac:dyDescent="0.25"/>
  <cols>
    <col min="1" max="1" width="6.42578125" bestFit="1" customWidth="1"/>
    <col min="2" max="2" width="9.5703125" bestFit="1" customWidth="1"/>
    <col min="3" max="5" width="12.7109375" customWidth="1"/>
    <col min="6" max="6" width="12.7109375" style="1" customWidth="1"/>
    <col min="7" max="9" width="12.7109375" customWidth="1"/>
    <col min="10" max="10" width="12.7109375" style="1" customWidth="1"/>
    <col min="11" max="12" width="12.7109375" customWidth="1"/>
    <col min="13" max="16" width="10.7109375" customWidth="1"/>
    <col min="17" max="17" width="9.140625" customWidth="1"/>
  </cols>
  <sheetData>
    <row r="1" spans="1:16" x14ac:dyDescent="0.25">
      <c r="A1" t="s">
        <v>21</v>
      </c>
      <c r="B1" t="s">
        <v>51</v>
      </c>
      <c r="C1" t="s">
        <v>1</v>
      </c>
      <c r="D1" t="s">
        <v>20</v>
      </c>
      <c r="E1" t="s">
        <v>43</v>
      </c>
      <c r="F1" s="1" t="s">
        <v>2</v>
      </c>
      <c r="G1" t="s">
        <v>24</v>
      </c>
      <c r="H1" t="s">
        <v>3</v>
      </c>
      <c r="I1" t="s">
        <v>4</v>
      </c>
      <c r="J1" s="1" t="s">
        <v>5</v>
      </c>
      <c r="K1" t="s">
        <v>19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5">
      <c r="A2">
        <v>14</v>
      </c>
      <c r="B2" t="s">
        <v>11</v>
      </c>
      <c r="C2">
        <v>7.9</v>
      </c>
      <c r="D2" t="str">
        <f t="shared" ref="D2:D65" si="0">IF(C2&lt;2,"Low",IF(C2&lt;7,"Medium","High"))</f>
        <v>High</v>
      </c>
      <c r="E2" t="s">
        <v>12</v>
      </c>
      <c r="F2" s="1">
        <v>7.4</v>
      </c>
      <c r="G2" t="str">
        <f t="shared" ref="G2:G65" si="1">IF(F2&gt;=8,"Normal","Low")</f>
        <v>Low</v>
      </c>
      <c r="H2">
        <v>2.9</v>
      </c>
      <c r="I2">
        <v>3.01</v>
      </c>
      <c r="J2" s="1">
        <v>1.5</v>
      </c>
      <c r="K2" t="str">
        <f t="shared" ref="K2:K65" si="2">IF(J2=0,"No activity",IF(J2&lt;=1,"0-1 hours","1-2 hours"))</f>
        <v>1-2 hours</v>
      </c>
      <c r="L2" t="s">
        <v>13</v>
      </c>
      <c r="M2">
        <v>2</v>
      </c>
      <c r="N2">
        <v>2</v>
      </c>
      <c r="O2">
        <v>1</v>
      </c>
      <c r="P2">
        <v>0</v>
      </c>
    </row>
    <row r="3" spans="1:16" x14ac:dyDescent="0.25">
      <c r="A3">
        <v>19</v>
      </c>
      <c r="B3" t="s">
        <v>14</v>
      </c>
      <c r="C3">
        <v>1.9</v>
      </c>
      <c r="D3" t="str">
        <f t="shared" si="0"/>
        <v>Low</v>
      </c>
      <c r="E3" t="s">
        <v>15</v>
      </c>
      <c r="F3" s="1">
        <v>8</v>
      </c>
      <c r="G3" t="str">
        <f t="shared" si="1"/>
        <v>Normal</v>
      </c>
      <c r="H3">
        <v>2.9</v>
      </c>
      <c r="I3">
        <v>3.22</v>
      </c>
      <c r="J3" s="1">
        <v>0.8</v>
      </c>
      <c r="K3" t="str">
        <f t="shared" si="2"/>
        <v>0-1 hours</v>
      </c>
      <c r="L3" t="s">
        <v>16</v>
      </c>
      <c r="M3">
        <v>8</v>
      </c>
      <c r="N3">
        <v>1</v>
      </c>
      <c r="O3">
        <v>10</v>
      </c>
      <c r="P3">
        <v>0</v>
      </c>
    </row>
    <row r="4" spans="1:16" x14ac:dyDescent="0.25">
      <c r="A4">
        <v>17</v>
      </c>
      <c r="B4" t="s">
        <v>14</v>
      </c>
      <c r="C4">
        <v>1.3</v>
      </c>
      <c r="D4" t="str">
        <f t="shared" si="0"/>
        <v>Low</v>
      </c>
      <c r="E4" t="s">
        <v>12</v>
      </c>
      <c r="F4" s="1">
        <v>7.6</v>
      </c>
      <c r="G4" t="str">
        <f t="shared" si="1"/>
        <v>Low</v>
      </c>
      <c r="H4">
        <v>0.5</v>
      </c>
      <c r="I4">
        <v>3.92</v>
      </c>
      <c r="J4" s="1">
        <v>0</v>
      </c>
      <c r="K4" t="str">
        <f t="shared" si="2"/>
        <v>No activity</v>
      </c>
      <c r="L4" t="s">
        <v>16</v>
      </c>
      <c r="M4">
        <v>2</v>
      </c>
      <c r="N4">
        <v>4</v>
      </c>
      <c r="O4">
        <v>2</v>
      </c>
      <c r="P4">
        <v>0</v>
      </c>
    </row>
    <row r="5" spans="1:16" x14ac:dyDescent="0.25">
      <c r="A5">
        <v>15</v>
      </c>
      <c r="B5" t="s">
        <v>11</v>
      </c>
      <c r="C5">
        <v>7.4</v>
      </c>
      <c r="D5" t="str">
        <f t="shared" si="0"/>
        <v>High</v>
      </c>
      <c r="E5" t="s">
        <v>15</v>
      </c>
      <c r="F5" s="1">
        <v>6.9</v>
      </c>
      <c r="G5" t="str">
        <f t="shared" si="1"/>
        <v>Low</v>
      </c>
      <c r="H5">
        <v>1.6</v>
      </c>
      <c r="I5">
        <v>3.48</v>
      </c>
      <c r="J5" s="1">
        <v>0.8</v>
      </c>
      <c r="K5" t="str">
        <f t="shared" si="2"/>
        <v>0-1 hours</v>
      </c>
      <c r="L5" t="s">
        <v>17</v>
      </c>
      <c r="M5">
        <v>1</v>
      </c>
      <c r="N5">
        <v>7</v>
      </c>
      <c r="O5">
        <v>9</v>
      </c>
      <c r="P5">
        <v>0</v>
      </c>
    </row>
    <row r="6" spans="1:16" x14ac:dyDescent="0.25">
      <c r="A6">
        <v>15</v>
      </c>
      <c r="B6" t="s">
        <v>14</v>
      </c>
      <c r="C6">
        <v>4.7</v>
      </c>
      <c r="D6" t="str">
        <f t="shared" si="0"/>
        <v>Medium</v>
      </c>
      <c r="E6" t="s">
        <v>18</v>
      </c>
      <c r="F6" s="1">
        <v>4.9000000000000004</v>
      </c>
      <c r="G6" t="str">
        <f t="shared" si="1"/>
        <v>Low</v>
      </c>
      <c r="H6">
        <v>3</v>
      </c>
      <c r="I6">
        <v>2.37</v>
      </c>
      <c r="J6" s="1">
        <v>1.4</v>
      </c>
      <c r="K6" t="str">
        <f t="shared" si="2"/>
        <v>1-2 hours</v>
      </c>
      <c r="L6" t="s">
        <v>17</v>
      </c>
      <c r="M6">
        <v>3</v>
      </c>
      <c r="N6">
        <v>5</v>
      </c>
      <c r="O6">
        <v>2</v>
      </c>
      <c r="P6">
        <v>0</v>
      </c>
    </row>
    <row r="7" spans="1:16" x14ac:dyDescent="0.25">
      <c r="A7">
        <v>19</v>
      </c>
      <c r="B7" t="s">
        <v>14</v>
      </c>
      <c r="C7">
        <v>7.4</v>
      </c>
      <c r="D7" t="str">
        <f t="shared" si="0"/>
        <v>High</v>
      </c>
      <c r="E7" t="s">
        <v>18</v>
      </c>
      <c r="F7" s="1">
        <v>4.4000000000000004</v>
      </c>
      <c r="G7" t="str">
        <f t="shared" si="1"/>
        <v>Low</v>
      </c>
      <c r="H7">
        <v>2.4</v>
      </c>
      <c r="I7">
        <v>2.63</v>
      </c>
      <c r="J7" s="1">
        <v>0.6</v>
      </c>
      <c r="K7" t="str">
        <f t="shared" si="2"/>
        <v>0-1 hours</v>
      </c>
      <c r="L7" t="s">
        <v>16</v>
      </c>
      <c r="M7">
        <v>3</v>
      </c>
      <c r="N7">
        <v>5</v>
      </c>
      <c r="O7">
        <v>7</v>
      </c>
      <c r="P7">
        <v>0</v>
      </c>
    </row>
    <row r="8" spans="1:16" x14ac:dyDescent="0.25">
      <c r="A8">
        <v>18</v>
      </c>
      <c r="B8" t="s">
        <v>14</v>
      </c>
      <c r="C8">
        <v>2.5</v>
      </c>
      <c r="D8" t="str">
        <f t="shared" si="0"/>
        <v>Medium</v>
      </c>
      <c r="E8" t="s">
        <v>12</v>
      </c>
      <c r="F8" s="1">
        <v>6.4</v>
      </c>
      <c r="G8" t="str">
        <f t="shared" si="1"/>
        <v>Low</v>
      </c>
      <c r="H8">
        <v>2.4</v>
      </c>
      <c r="I8">
        <v>2.63</v>
      </c>
      <c r="J8" s="1">
        <v>0.7</v>
      </c>
      <c r="K8" t="str">
        <f t="shared" si="2"/>
        <v>0-1 hours</v>
      </c>
      <c r="L8" t="s">
        <v>13</v>
      </c>
      <c r="M8">
        <v>2</v>
      </c>
      <c r="N8">
        <v>2</v>
      </c>
      <c r="O8">
        <v>5</v>
      </c>
      <c r="P8">
        <v>0</v>
      </c>
    </row>
    <row r="9" spans="1:16" x14ac:dyDescent="0.25">
      <c r="A9">
        <v>16</v>
      </c>
      <c r="B9" t="s">
        <v>11</v>
      </c>
      <c r="C9">
        <v>4</v>
      </c>
      <c r="D9" t="str">
        <f t="shared" si="0"/>
        <v>Medium</v>
      </c>
      <c r="E9" t="s">
        <v>18</v>
      </c>
      <c r="F9" s="1">
        <v>4.2</v>
      </c>
      <c r="G9" t="str">
        <f t="shared" si="1"/>
        <v>Low</v>
      </c>
      <c r="H9">
        <v>0.5</v>
      </c>
      <c r="I9">
        <v>2.4</v>
      </c>
      <c r="J9" s="1">
        <v>1.3</v>
      </c>
      <c r="K9" t="str">
        <f t="shared" si="2"/>
        <v>1-2 hours</v>
      </c>
      <c r="L9" t="s">
        <v>13</v>
      </c>
      <c r="M9">
        <v>6</v>
      </c>
      <c r="N9">
        <v>10</v>
      </c>
      <c r="O9">
        <v>5</v>
      </c>
      <c r="P9">
        <v>0</v>
      </c>
    </row>
    <row r="10" spans="1:16" x14ac:dyDescent="0.25">
      <c r="A10">
        <v>19</v>
      </c>
      <c r="B10" t="s">
        <v>14</v>
      </c>
      <c r="C10">
        <v>3.3</v>
      </c>
      <c r="D10" t="str">
        <f t="shared" si="0"/>
        <v>Medium</v>
      </c>
      <c r="E10" t="s">
        <v>15</v>
      </c>
      <c r="F10" s="1">
        <v>5</v>
      </c>
      <c r="G10" t="str">
        <f t="shared" si="1"/>
        <v>Low</v>
      </c>
      <c r="H10">
        <v>2.1</v>
      </c>
      <c r="I10">
        <v>2.04</v>
      </c>
      <c r="J10" s="1">
        <v>0.9</v>
      </c>
      <c r="K10" t="str">
        <f t="shared" si="2"/>
        <v>0-1 hours</v>
      </c>
      <c r="L10" t="s">
        <v>16</v>
      </c>
      <c r="M10">
        <v>1</v>
      </c>
      <c r="N10">
        <v>10</v>
      </c>
      <c r="O10">
        <v>9</v>
      </c>
      <c r="P10">
        <v>0</v>
      </c>
    </row>
    <row r="11" spans="1:16" x14ac:dyDescent="0.25">
      <c r="A11">
        <v>15</v>
      </c>
      <c r="B11" t="s">
        <v>11</v>
      </c>
      <c r="C11">
        <v>1.9</v>
      </c>
      <c r="D11" t="str">
        <f t="shared" si="0"/>
        <v>Low</v>
      </c>
      <c r="E11" t="s">
        <v>15</v>
      </c>
      <c r="F11" s="1">
        <v>4.9000000000000004</v>
      </c>
      <c r="G11" t="str">
        <f t="shared" si="1"/>
        <v>Low</v>
      </c>
      <c r="H11">
        <v>1.5</v>
      </c>
      <c r="I11">
        <v>3.77</v>
      </c>
      <c r="J11" s="1">
        <v>1.1000000000000001</v>
      </c>
      <c r="K11" t="str">
        <f t="shared" si="2"/>
        <v>1-2 hours</v>
      </c>
      <c r="L11" t="s">
        <v>16</v>
      </c>
      <c r="M11">
        <v>1</v>
      </c>
      <c r="N11">
        <v>1</v>
      </c>
      <c r="O11">
        <v>4</v>
      </c>
      <c r="P11">
        <v>0</v>
      </c>
    </row>
    <row r="12" spans="1:16" x14ac:dyDescent="0.25">
      <c r="A12">
        <v>16</v>
      </c>
      <c r="B12" t="s">
        <v>11</v>
      </c>
      <c r="C12">
        <v>7.2</v>
      </c>
      <c r="D12" t="str">
        <f t="shared" si="0"/>
        <v>High</v>
      </c>
      <c r="E12" t="s">
        <v>18</v>
      </c>
      <c r="F12" s="1">
        <v>5.8</v>
      </c>
      <c r="G12" t="str">
        <f t="shared" si="1"/>
        <v>Low</v>
      </c>
      <c r="H12">
        <v>2.9</v>
      </c>
      <c r="I12">
        <v>3.16</v>
      </c>
      <c r="J12" s="1">
        <v>1.2</v>
      </c>
      <c r="K12" t="str">
        <f t="shared" si="2"/>
        <v>1-2 hours</v>
      </c>
      <c r="L12" t="s">
        <v>17</v>
      </c>
      <c r="M12">
        <v>5</v>
      </c>
      <c r="N12">
        <v>8</v>
      </c>
      <c r="O12">
        <v>9</v>
      </c>
      <c r="P12">
        <v>0</v>
      </c>
    </row>
    <row r="13" spans="1:16" x14ac:dyDescent="0.25">
      <c r="A13">
        <v>13</v>
      </c>
      <c r="B13" t="s">
        <v>11</v>
      </c>
      <c r="C13">
        <v>4.9000000000000004</v>
      </c>
      <c r="D13" t="str">
        <f t="shared" si="0"/>
        <v>Medium</v>
      </c>
      <c r="E13" t="s">
        <v>12</v>
      </c>
      <c r="F13" s="1">
        <v>4.7</v>
      </c>
      <c r="G13" t="str">
        <f t="shared" si="1"/>
        <v>Low</v>
      </c>
      <c r="H13">
        <v>2.5</v>
      </c>
      <c r="I13">
        <v>3.92</v>
      </c>
      <c r="J13" s="1">
        <v>1.2</v>
      </c>
      <c r="K13" t="str">
        <f t="shared" si="2"/>
        <v>1-2 hours</v>
      </c>
      <c r="L13" t="s">
        <v>13</v>
      </c>
      <c r="M13">
        <v>1</v>
      </c>
      <c r="N13">
        <v>10</v>
      </c>
      <c r="O13">
        <v>8</v>
      </c>
      <c r="P13">
        <v>0</v>
      </c>
    </row>
    <row r="14" spans="1:16" x14ac:dyDescent="0.25">
      <c r="A14">
        <v>16</v>
      </c>
      <c r="B14" t="s">
        <v>11</v>
      </c>
      <c r="C14">
        <v>6.2</v>
      </c>
      <c r="D14" t="str">
        <f t="shared" si="0"/>
        <v>Medium</v>
      </c>
      <c r="E14" t="s">
        <v>18</v>
      </c>
      <c r="F14" s="1">
        <v>7.2</v>
      </c>
      <c r="G14" t="str">
        <f t="shared" si="1"/>
        <v>Low</v>
      </c>
      <c r="H14">
        <v>2.6</v>
      </c>
      <c r="I14">
        <v>2.02</v>
      </c>
      <c r="J14" s="1">
        <v>1.7</v>
      </c>
      <c r="K14" t="str">
        <f t="shared" si="2"/>
        <v>1-2 hours</v>
      </c>
      <c r="L14" t="s">
        <v>17</v>
      </c>
      <c r="M14">
        <v>5</v>
      </c>
      <c r="N14">
        <v>7</v>
      </c>
      <c r="O14">
        <v>6</v>
      </c>
      <c r="P14">
        <v>0</v>
      </c>
    </row>
    <row r="15" spans="1:16" x14ac:dyDescent="0.25">
      <c r="A15">
        <v>17</v>
      </c>
      <c r="B15" t="s">
        <v>14</v>
      </c>
      <c r="C15">
        <v>6.8</v>
      </c>
      <c r="D15" t="str">
        <f t="shared" si="0"/>
        <v>Medium</v>
      </c>
      <c r="E15" t="s">
        <v>15</v>
      </c>
      <c r="F15" s="1">
        <v>5.7</v>
      </c>
      <c r="G15" t="str">
        <f t="shared" si="1"/>
        <v>Low</v>
      </c>
      <c r="H15">
        <v>1.1000000000000001</v>
      </c>
      <c r="I15">
        <v>3.29</v>
      </c>
      <c r="J15" s="1">
        <v>1.3</v>
      </c>
      <c r="K15" t="str">
        <f t="shared" si="2"/>
        <v>1-2 hours</v>
      </c>
      <c r="L15" t="s">
        <v>17</v>
      </c>
      <c r="M15">
        <v>1</v>
      </c>
      <c r="N15">
        <v>10</v>
      </c>
      <c r="O15">
        <v>10</v>
      </c>
      <c r="P15">
        <v>0</v>
      </c>
    </row>
    <row r="16" spans="1:16" x14ac:dyDescent="0.25">
      <c r="A16">
        <v>15</v>
      </c>
      <c r="B16" t="s">
        <v>11</v>
      </c>
      <c r="C16">
        <v>5.7</v>
      </c>
      <c r="D16" t="str">
        <f t="shared" si="0"/>
        <v>Medium</v>
      </c>
      <c r="E16" t="s">
        <v>15</v>
      </c>
      <c r="F16" s="1">
        <v>5.9</v>
      </c>
      <c r="G16" t="str">
        <f t="shared" si="1"/>
        <v>Low</v>
      </c>
      <c r="H16">
        <v>0.8</v>
      </c>
      <c r="I16">
        <v>3.5</v>
      </c>
      <c r="J16" s="1">
        <v>0.7</v>
      </c>
      <c r="K16" t="str">
        <f t="shared" si="2"/>
        <v>0-1 hours</v>
      </c>
      <c r="L16" t="s">
        <v>13</v>
      </c>
      <c r="M16">
        <v>1</v>
      </c>
      <c r="N16">
        <v>9</v>
      </c>
      <c r="O16">
        <v>1</v>
      </c>
      <c r="P16">
        <v>0</v>
      </c>
    </row>
    <row r="17" spans="1:16" x14ac:dyDescent="0.25">
      <c r="A17">
        <v>14</v>
      </c>
      <c r="B17" t="s">
        <v>14</v>
      </c>
      <c r="C17">
        <v>3.6</v>
      </c>
      <c r="D17" t="str">
        <f t="shared" si="0"/>
        <v>Medium</v>
      </c>
      <c r="E17" t="s">
        <v>18</v>
      </c>
      <c r="F17" s="1">
        <v>5.3</v>
      </c>
      <c r="G17" t="str">
        <f t="shared" si="1"/>
        <v>Low</v>
      </c>
      <c r="H17">
        <v>0.6</v>
      </c>
      <c r="I17">
        <v>2.99</v>
      </c>
      <c r="J17" s="1">
        <v>0.3</v>
      </c>
      <c r="K17" t="str">
        <f t="shared" si="2"/>
        <v>0-1 hours</v>
      </c>
      <c r="L17" t="s">
        <v>16</v>
      </c>
      <c r="M17">
        <v>4</v>
      </c>
      <c r="N17">
        <v>10</v>
      </c>
      <c r="O17">
        <v>2</v>
      </c>
      <c r="P17">
        <v>0</v>
      </c>
    </row>
    <row r="18" spans="1:16" x14ac:dyDescent="0.25">
      <c r="A18">
        <v>13</v>
      </c>
      <c r="B18" t="s">
        <v>11</v>
      </c>
      <c r="C18">
        <v>1.5</v>
      </c>
      <c r="D18" t="str">
        <f t="shared" si="0"/>
        <v>Low</v>
      </c>
      <c r="E18" t="s">
        <v>18</v>
      </c>
      <c r="F18" s="1">
        <v>4.2</v>
      </c>
      <c r="G18" t="str">
        <f t="shared" si="1"/>
        <v>Low</v>
      </c>
      <c r="H18">
        <v>1.4</v>
      </c>
      <c r="I18">
        <v>2.59</v>
      </c>
      <c r="J18" s="1">
        <v>0.5</v>
      </c>
      <c r="K18" t="str">
        <f t="shared" si="2"/>
        <v>0-1 hours</v>
      </c>
      <c r="L18" t="s">
        <v>16</v>
      </c>
      <c r="M18">
        <v>4</v>
      </c>
      <c r="N18">
        <v>5</v>
      </c>
      <c r="O18">
        <v>8</v>
      </c>
      <c r="P18">
        <v>0</v>
      </c>
    </row>
    <row r="19" spans="1:16" x14ac:dyDescent="0.25">
      <c r="A19">
        <v>16</v>
      </c>
      <c r="B19" t="s">
        <v>11</v>
      </c>
      <c r="C19">
        <v>3.1</v>
      </c>
      <c r="D19" t="str">
        <f t="shared" si="0"/>
        <v>Medium</v>
      </c>
      <c r="E19" t="s">
        <v>18</v>
      </c>
      <c r="F19" s="1">
        <v>6.1</v>
      </c>
      <c r="G19" t="str">
        <f t="shared" si="1"/>
        <v>Low</v>
      </c>
      <c r="H19">
        <v>0.8</v>
      </c>
      <c r="I19">
        <v>2.11</v>
      </c>
      <c r="J19" s="1">
        <v>1.9</v>
      </c>
      <c r="K19" t="str">
        <f t="shared" si="2"/>
        <v>1-2 hours</v>
      </c>
      <c r="L19" t="s">
        <v>16</v>
      </c>
      <c r="M19">
        <v>10</v>
      </c>
      <c r="N19">
        <v>7</v>
      </c>
      <c r="O19">
        <v>10</v>
      </c>
      <c r="P19">
        <v>0</v>
      </c>
    </row>
    <row r="20" spans="1:16" x14ac:dyDescent="0.25">
      <c r="A20">
        <v>16</v>
      </c>
      <c r="B20" t="s">
        <v>14</v>
      </c>
      <c r="C20">
        <v>6.7</v>
      </c>
      <c r="D20" t="str">
        <f t="shared" si="0"/>
        <v>Medium</v>
      </c>
      <c r="E20" t="s">
        <v>18</v>
      </c>
      <c r="F20" s="1">
        <v>6.8</v>
      </c>
      <c r="G20" t="str">
        <f t="shared" si="1"/>
        <v>Low</v>
      </c>
      <c r="H20">
        <v>1.9</v>
      </c>
      <c r="I20">
        <v>3.08</v>
      </c>
      <c r="J20" s="1">
        <v>1.4</v>
      </c>
      <c r="K20" t="str">
        <f t="shared" si="2"/>
        <v>1-2 hours</v>
      </c>
      <c r="L20" t="s">
        <v>16</v>
      </c>
      <c r="M20">
        <v>10</v>
      </c>
      <c r="N20">
        <v>9</v>
      </c>
      <c r="O20">
        <v>1</v>
      </c>
      <c r="P20">
        <v>0</v>
      </c>
    </row>
    <row r="21" spans="1:16" x14ac:dyDescent="0.25">
      <c r="A21">
        <v>14</v>
      </c>
      <c r="B21" t="s">
        <v>14</v>
      </c>
      <c r="C21">
        <v>1.2</v>
      </c>
      <c r="D21" t="str">
        <f t="shared" si="0"/>
        <v>Low</v>
      </c>
      <c r="E21" t="s">
        <v>12</v>
      </c>
      <c r="F21" s="1">
        <v>7.6</v>
      </c>
      <c r="G21" t="str">
        <f t="shared" si="1"/>
        <v>Low</v>
      </c>
      <c r="H21">
        <v>1</v>
      </c>
      <c r="I21">
        <v>3.85</v>
      </c>
      <c r="J21" s="1">
        <v>0.8</v>
      </c>
      <c r="K21" t="str">
        <f t="shared" si="2"/>
        <v>0-1 hours</v>
      </c>
      <c r="L21" t="s">
        <v>16</v>
      </c>
      <c r="M21">
        <v>8</v>
      </c>
      <c r="N21">
        <v>4</v>
      </c>
      <c r="O21">
        <v>6</v>
      </c>
      <c r="P21">
        <v>0</v>
      </c>
    </row>
    <row r="22" spans="1:16" x14ac:dyDescent="0.25">
      <c r="A22">
        <v>16</v>
      </c>
      <c r="B22" t="s">
        <v>11</v>
      </c>
      <c r="C22">
        <v>3.4</v>
      </c>
      <c r="D22" t="str">
        <f t="shared" si="0"/>
        <v>Medium</v>
      </c>
      <c r="E22" t="s">
        <v>15</v>
      </c>
      <c r="F22" s="1">
        <v>4.5999999999999996</v>
      </c>
      <c r="G22" t="str">
        <f t="shared" si="1"/>
        <v>Low</v>
      </c>
      <c r="H22">
        <v>2.1</v>
      </c>
      <c r="I22">
        <v>2.2400000000000002</v>
      </c>
      <c r="J22" s="1">
        <v>0.4</v>
      </c>
      <c r="K22" t="str">
        <f t="shared" si="2"/>
        <v>0-1 hours</v>
      </c>
      <c r="L22" t="s">
        <v>16</v>
      </c>
      <c r="M22">
        <v>4</v>
      </c>
      <c r="N22">
        <v>1</v>
      </c>
      <c r="O22">
        <v>3</v>
      </c>
      <c r="P22">
        <v>0</v>
      </c>
    </row>
    <row r="23" spans="1:16" x14ac:dyDescent="0.25">
      <c r="A23">
        <v>18</v>
      </c>
      <c r="B23" t="s">
        <v>11</v>
      </c>
      <c r="C23">
        <v>4.0999999999999996</v>
      </c>
      <c r="D23" t="str">
        <f t="shared" si="0"/>
        <v>Medium</v>
      </c>
      <c r="E23" t="s">
        <v>18</v>
      </c>
      <c r="F23" s="1">
        <v>7.4</v>
      </c>
      <c r="G23" t="str">
        <f t="shared" si="1"/>
        <v>Low</v>
      </c>
      <c r="H23">
        <v>2.4</v>
      </c>
      <c r="I23">
        <v>2.38</v>
      </c>
      <c r="J23" s="1">
        <v>1.5</v>
      </c>
      <c r="K23" t="str">
        <f t="shared" si="2"/>
        <v>1-2 hours</v>
      </c>
      <c r="L23" t="s">
        <v>17</v>
      </c>
      <c r="M23">
        <v>8</v>
      </c>
      <c r="N23">
        <v>4</v>
      </c>
      <c r="O23">
        <v>9</v>
      </c>
      <c r="P23">
        <v>0</v>
      </c>
    </row>
    <row r="24" spans="1:16" x14ac:dyDescent="0.25">
      <c r="A24">
        <v>18</v>
      </c>
      <c r="B24" t="s">
        <v>11</v>
      </c>
      <c r="C24">
        <v>5.3</v>
      </c>
      <c r="D24" t="str">
        <f t="shared" si="0"/>
        <v>Medium</v>
      </c>
      <c r="E24" t="s">
        <v>12</v>
      </c>
      <c r="F24" s="1">
        <v>4.9000000000000004</v>
      </c>
      <c r="G24" t="str">
        <f t="shared" si="1"/>
        <v>Low</v>
      </c>
      <c r="H24">
        <v>1.2</v>
      </c>
      <c r="I24">
        <v>3.69</v>
      </c>
      <c r="J24" s="1">
        <v>1.2</v>
      </c>
      <c r="K24" t="str">
        <f t="shared" si="2"/>
        <v>1-2 hours</v>
      </c>
      <c r="L24" t="s">
        <v>13</v>
      </c>
      <c r="M24">
        <v>5</v>
      </c>
      <c r="N24">
        <v>4</v>
      </c>
      <c r="O24">
        <v>5</v>
      </c>
      <c r="P24">
        <v>0</v>
      </c>
    </row>
    <row r="25" spans="1:16" x14ac:dyDescent="0.25">
      <c r="A25">
        <v>18</v>
      </c>
      <c r="B25" t="s">
        <v>14</v>
      </c>
      <c r="C25">
        <v>2.2999999999999998</v>
      </c>
      <c r="D25" t="str">
        <f t="shared" si="0"/>
        <v>Medium</v>
      </c>
      <c r="E25" t="s">
        <v>15</v>
      </c>
      <c r="F25" s="1">
        <v>7.6</v>
      </c>
      <c r="G25" t="str">
        <f t="shared" si="1"/>
        <v>Low</v>
      </c>
      <c r="H25">
        <v>0.5</v>
      </c>
      <c r="I25">
        <v>2.96</v>
      </c>
      <c r="J25" s="1">
        <v>1.7</v>
      </c>
      <c r="K25" t="str">
        <f t="shared" si="2"/>
        <v>1-2 hours</v>
      </c>
      <c r="L25" t="s">
        <v>17</v>
      </c>
      <c r="M25">
        <v>9</v>
      </c>
      <c r="N25">
        <v>8</v>
      </c>
      <c r="O25">
        <v>7</v>
      </c>
      <c r="P25">
        <v>0</v>
      </c>
    </row>
    <row r="26" spans="1:16" x14ac:dyDescent="0.25">
      <c r="A26">
        <v>18</v>
      </c>
      <c r="B26" t="s">
        <v>14</v>
      </c>
      <c r="C26">
        <v>2.4</v>
      </c>
      <c r="D26" t="str">
        <f t="shared" si="0"/>
        <v>Medium</v>
      </c>
      <c r="E26" t="s">
        <v>18</v>
      </c>
      <c r="F26" s="1">
        <v>6.7</v>
      </c>
      <c r="G26" t="str">
        <f t="shared" si="1"/>
        <v>Low</v>
      </c>
      <c r="H26">
        <v>1.9</v>
      </c>
      <c r="I26">
        <v>2.5299999999999998</v>
      </c>
      <c r="J26" s="1">
        <v>0.4</v>
      </c>
      <c r="K26" t="str">
        <f t="shared" si="2"/>
        <v>0-1 hours</v>
      </c>
      <c r="L26" t="s">
        <v>16</v>
      </c>
      <c r="M26">
        <v>8</v>
      </c>
      <c r="N26">
        <v>8</v>
      </c>
      <c r="O26">
        <v>2</v>
      </c>
      <c r="P26">
        <v>0</v>
      </c>
    </row>
    <row r="27" spans="1:16" x14ac:dyDescent="0.25">
      <c r="A27">
        <v>13</v>
      </c>
      <c r="B27" t="s">
        <v>14</v>
      </c>
      <c r="C27">
        <v>1.5</v>
      </c>
      <c r="D27" t="str">
        <f t="shared" si="0"/>
        <v>Low</v>
      </c>
      <c r="E27" t="s">
        <v>18</v>
      </c>
      <c r="F27" s="1">
        <v>7.2</v>
      </c>
      <c r="G27" t="str">
        <f t="shared" si="1"/>
        <v>Low</v>
      </c>
      <c r="H27">
        <v>2.5</v>
      </c>
      <c r="I27">
        <v>2.15</v>
      </c>
      <c r="J27" s="1">
        <v>1.3</v>
      </c>
      <c r="K27" t="str">
        <f t="shared" si="2"/>
        <v>1-2 hours</v>
      </c>
      <c r="L27" t="s">
        <v>17</v>
      </c>
      <c r="M27">
        <v>4</v>
      </c>
      <c r="N27">
        <v>6</v>
      </c>
      <c r="O27">
        <v>2</v>
      </c>
      <c r="P27">
        <v>0</v>
      </c>
    </row>
    <row r="28" spans="1:16" x14ac:dyDescent="0.25">
      <c r="A28">
        <v>14</v>
      </c>
      <c r="B28" t="s">
        <v>14</v>
      </c>
      <c r="C28">
        <v>5.7</v>
      </c>
      <c r="D28" t="str">
        <f t="shared" si="0"/>
        <v>Medium</v>
      </c>
      <c r="E28" t="s">
        <v>18</v>
      </c>
      <c r="F28" s="1">
        <v>8.6999999999999993</v>
      </c>
      <c r="G28" t="str">
        <f t="shared" si="1"/>
        <v>Normal</v>
      </c>
      <c r="H28">
        <v>0.6</v>
      </c>
      <c r="I28">
        <v>2.64</v>
      </c>
      <c r="J28" s="1">
        <v>0.1</v>
      </c>
      <c r="K28" t="str">
        <f t="shared" si="2"/>
        <v>0-1 hours</v>
      </c>
      <c r="L28" t="s">
        <v>13</v>
      </c>
      <c r="M28">
        <v>8</v>
      </c>
      <c r="N28">
        <v>9</v>
      </c>
      <c r="O28">
        <v>4</v>
      </c>
      <c r="P28">
        <v>0</v>
      </c>
    </row>
    <row r="29" spans="1:16" x14ac:dyDescent="0.25">
      <c r="A29">
        <v>19</v>
      </c>
      <c r="B29" t="s">
        <v>11</v>
      </c>
      <c r="C29">
        <v>2</v>
      </c>
      <c r="D29" t="str">
        <f t="shared" si="0"/>
        <v>Medium</v>
      </c>
      <c r="E29" t="s">
        <v>15</v>
      </c>
      <c r="F29" s="1">
        <v>7.1</v>
      </c>
      <c r="G29" t="str">
        <f t="shared" si="1"/>
        <v>Low</v>
      </c>
      <c r="H29">
        <v>0.9</v>
      </c>
      <c r="I29">
        <v>3.26</v>
      </c>
      <c r="J29" s="1">
        <v>1.6</v>
      </c>
      <c r="K29" t="str">
        <f t="shared" si="2"/>
        <v>1-2 hours</v>
      </c>
      <c r="L29" t="s">
        <v>16</v>
      </c>
      <c r="M29">
        <v>7</v>
      </c>
      <c r="N29">
        <v>5</v>
      </c>
      <c r="O29">
        <v>9</v>
      </c>
      <c r="P29">
        <v>0</v>
      </c>
    </row>
    <row r="30" spans="1:16" x14ac:dyDescent="0.25">
      <c r="A30">
        <v>14</v>
      </c>
      <c r="B30" t="s">
        <v>11</v>
      </c>
      <c r="C30">
        <v>2.5</v>
      </c>
      <c r="D30" t="str">
        <f t="shared" si="0"/>
        <v>Medium</v>
      </c>
      <c r="E30" t="s">
        <v>15</v>
      </c>
      <c r="F30" s="1">
        <v>5.6</v>
      </c>
      <c r="G30" t="str">
        <f t="shared" si="1"/>
        <v>Low</v>
      </c>
      <c r="H30">
        <v>2.9</v>
      </c>
      <c r="I30">
        <v>2.2400000000000002</v>
      </c>
      <c r="J30" s="1">
        <v>0.5</v>
      </c>
      <c r="K30" t="str">
        <f t="shared" si="2"/>
        <v>0-1 hours</v>
      </c>
      <c r="L30" t="s">
        <v>13</v>
      </c>
      <c r="M30">
        <v>3</v>
      </c>
      <c r="N30">
        <v>9</v>
      </c>
      <c r="O30">
        <v>5</v>
      </c>
      <c r="P30">
        <v>0</v>
      </c>
    </row>
    <row r="31" spans="1:16" x14ac:dyDescent="0.25">
      <c r="A31">
        <v>16</v>
      </c>
      <c r="B31" t="s">
        <v>14</v>
      </c>
      <c r="C31">
        <v>3.4</v>
      </c>
      <c r="D31" t="str">
        <f t="shared" si="0"/>
        <v>Medium</v>
      </c>
      <c r="E31" t="s">
        <v>15</v>
      </c>
      <c r="F31" s="1">
        <v>7.8</v>
      </c>
      <c r="G31" t="str">
        <f t="shared" si="1"/>
        <v>Low</v>
      </c>
      <c r="H31">
        <v>2.8</v>
      </c>
      <c r="I31">
        <v>3.83</v>
      </c>
      <c r="J31" s="1">
        <v>1.8</v>
      </c>
      <c r="K31" t="str">
        <f t="shared" si="2"/>
        <v>1-2 hours</v>
      </c>
      <c r="L31" t="s">
        <v>17</v>
      </c>
      <c r="M31">
        <v>6</v>
      </c>
      <c r="N31">
        <v>6</v>
      </c>
      <c r="O31">
        <v>4</v>
      </c>
      <c r="P31">
        <v>0</v>
      </c>
    </row>
    <row r="32" spans="1:16" x14ac:dyDescent="0.25">
      <c r="A32">
        <v>13</v>
      </c>
      <c r="B32" t="s">
        <v>11</v>
      </c>
      <c r="C32">
        <v>6.6</v>
      </c>
      <c r="D32" t="str">
        <f t="shared" si="0"/>
        <v>Medium</v>
      </c>
      <c r="E32" t="s">
        <v>15</v>
      </c>
      <c r="F32" s="1">
        <v>5.7</v>
      </c>
      <c r="G32" t="str">
        <f t="shared" si="1"/>
        <v>Low</v>
      </c>
      <c r="H32">
        <v>2.5</v>
      </c>
      <c r="I32">
        <v>2.67</v>
      </c>
      <c r="J32" s="1">
        <v>1.1000000000000001</v>
      </c>
      <c r="K32" t="str">
        <f t="shared" si="2"/>
        <v>1-2 hours</v>
      </c>
      <c r="L32" t="s">
        <v>13</v>
      </c>
      <c r="M32">
        <v>2</v>
      </c>
      <c r="N32">
        <v>1</v>
      </c>
      <c r="O32">
        <v>10</v>
      </c>
      <c r="P32">
        <v>0</v>
      </c>
    </row>
    <row r="33" spans="1:16" x14ac:dyDescent="0.25">
      <c r="A33">
        <v>13</v>
      </c>
      <c r="B33" t="s">
        <v>14</v>
      </c>
      <c r="C33">
        <v>1.6</v>
      </c>
      <c r="D33" t="str">
        <f t="shared" si="0"/>
        <v>Low</v>
      </c>
      <c r="E33" t="s">
        <v>12</v>
      </c>
      <c r="F33" s="1">
        <v>8.6999999999999993</v>
      </c>
      <c r="G33" t="str">
        <f t="shared" si="1"/>
        <v>Normal</v>
      </c>
      <c r="H33">
        <v>2.5</v>
      </c>
      <c r="I33">
        <v>3.69</v>
      </c>
      <c r="J33" s="1">
        <v>0.4</v>
      </c>
      <c r="K33" t="str">
        <f t="shared" si="2"/>
        <v>0-1 hours</v>
      </c>
      <c r="L33" t="s">
        <v>16</v>
      </c>
      <c r="M33">
        <v>8</v>
      </c>
      <c r="N33">
        <v>2</v>
      </c>
      <c r="O33">
        <v>9</v>
      </c>
      <c r="P33">
        <v>0</v>
      </c>
    </row>
    <row r="34" spans="1:16" x14ac:dyDescent="0.25">
      <c r="A34">
        <v>16</v>
      </c>
      <c r="B34" t="s">
        <v>11</v>
      </c>
      <c r="C34">
        <v>2.7</v>
      </c>
      <c r="D34" t="str">
        <f t="shared" si="0"/>
        <v>Medium</v>
      </c>
      <c r="E34" t="s">
        <v>12</v>
      </c>
      <c r="F34" s="1">
        <v>4.2</v>
      </c>
      <c r="G34" t="str">
        <f t="shared" si="1"/>
        <v>Low</v>
      </c>
      <c r="H34">
        <v>2.4</v>
      </c>
      <c r="I34">
        <v>3.05</v>
      </c>
      <c r="J34" s="1">
        <v>0.2</v>
      </c>
      <c r="K34" t="str">
        <f t="shared" si="2"/>
        <v>0-1 hours</v>
      </c>
      <c r="L34" t="s">
        <v>16</v>
      </c>
      <c r="M34">
        <v>1</v>
      </c>
      <c r="N34">
        <v>8</v>
      </c>
      <c r="O34">
        <v>4</v>
      </c>
      <c r="P34">
        <v>0</v>
      </c>
    </row>
    <row r="35" spans="1:16" x14ac:dyDescent="0.25">
      <c r="A35">
        <v>14</v>
      </c>
      <c r="B35" t="s">
        <v>11</v>
      </c>
      <c r="C35">
        <v>4.0999999999999996</v>
      </c>
      <c r="D35" t="str">
        <f t="shared" si="0"/>
        <v>Medium</v>
      </c>
      <c r="E35" t="s">
        <v>15</v>
      </c>
      <c r="F35" s="1">
        <v>8</v>
      </c>
      <c r="G35" t="str">
        <f t="shared" si="1"/>
        <v>Normal</v>
      </c>
      <c r="H35">
        <v>3</v>
      </c>
      <c r="I35">
        <v>2.31</v>
      </c>
      <c r="J35" s="1">
        <v>0.8</v>
      </c>
      <c r="K35" t="str">
        <f t="shared" si="2"/>
        <v>0-1 hours</v>
      </c>
      <c r="L35" t="s">
        <v>13</v>
      </c>
      <c r="M35">
        <v>8</v>
      </c>
      <c r="N35">
        <v>4</v>
      </c>
      <c r="O35">
        <v>1</v>
      </c>
      <c r="P35">
        <v>0</v>
      </c>
    </row>
    <row r="36" spans="1:16" x14ac:dyDescent="0.25">
      <c r="A36">
        <v>13</v>
      </c>
      <c r="B36" t="s">
        <v>14</v>
      </c>
      <c r="C36">
        <v>6.6</v>
      </c>
      <c r="D36" t="str">
        <f t="shared" si="0"/>
        <v>Medium</v>
      </c>
      <c r="E36" t="s">
        <v>15</v>
      </c>
      <c r="F36" s="1">
        <v>7.3</v>
      </c>
      <c r="G36" t="str">
        <f t="shared" si="1"/>
        <v>Low</v>
      </c>
      <c r="H36">
        <v>1.6</v>
      </c>
      <c r="I36">
        <v>3.27</v>
      </c>
      <c r="J36" s="1">
        <v>0.1</v>
      </c>
      <c r="K36" t="str">
        <f t="shared" si="2"/>
        <v>0-1 hours</v>
      </c>
      <c r="L36" t="s">
        <v>17</v>
      </c>
      <c r="M36">
        <v>10</v>
      </c>
      <c r="N36">
        <v>2</v>
      </c>
      <c r="O36">
        <v>1</v>
      </c>
      <c r="P36">
        <v>0</v>
      </c>
    </row>
    <row r="37" spans="1:16" x14ac:dyDescent="0.25">
      <c r="A37">
        <v>17</v>
      </c>
      <c r="B37" t="s">
        <v>14</v>
      </c>
      <c r="C37">
        <v>5</v>
      </c>
      <c r="D37" t="str">
        <f t="shared" si="0"/>
        <v>Medium</v>
      </c>
      <c r="E37" t="s">
        <v>18</v>
      </c>
      <c r="F37" s="1">
        <v>4.9000000000000004</v>
      </c>
      <c r="G37" t="str">
        <f t="shared" si="1"/>
        <v>Low</v>
      </c>
      <c r="H37">
        <v>2.1</v>
      </c>
      <c r="I37">
        <v>2.0099999999999998</v>
      </c>
      <c r="J37" s="1">
        <v>1</v>
      </c>
      <c r="K37" t="str">
        <f t="shared" si="2"/>
        <v>0-1 hours</v>
      </c>
      <c r="L37" t="s">
        <v>13</v>
      </c>
      <c r="M37">
        <v>9</v>
      </c>
      <c r="N37">
        <v>4</v>
      </c>
      <c r="O37">
        <v>9</v>
      </c>
      <c r="P37">
        <v>0</v>
      </c>
    </row>
    <row r="38" spans="1:16" x14ac:dyDescent="0.25">
      <c r="A38">
        <v>19</v>
      </c>
      <c r="B38" t="s">
        <v>14</v>
      </c>
      <c r="C38">
        <v>4.5999999999999996</v>
      </c>
      <c r="D38" t="str">
        <f t="shared" si="0"/>
        <v>Medium</v>
      </c>
      <c r="E38" t="s">
        <v>12</v>
      </c>
      <c r="F38" s="1">
        <v>5.5</v>
      </c>
      <c r="G38" t="str">
        <f t="shared" si="1"/>
        <v>Low</v>
      </c>
      <c r="H38">
        <v>2.5</v>
      </c>
      <c r="I38">
        <v>3.96</v>
      </c>
      <c r="J38" s="1">
        <v>0.8</v>
      </c>
      <c r="K38" t="str">
        <f t="shared" si="2"/>
        <v>0-1 hours</v>
      </c>
      <c r="L38" t="s">
        <v>16</v>
      </c>
      <c r="M38">
        <v>3</v>
      </c>
      <c r="N38">
        <v>10</v>
      </c>
      <c r="O38">
        <v>7</v>
      </c>
      <c r="P38">
        <v>0</v>
      </c>
    </row>
    <row r="39" spans="1:16" x14ac:dyDescent="0.25">
      <c r="A39">
        <v>17</v>
      </c>
      <c r="B39" t="s">
        <v>14</v>
      </c>
      <c r="C39">
        <v>4.8</v>
      </c>
      <c r="D39" t="str">
        <f t="shared" si="0"/>
        <v>Medium</v>
      </c>
      <c r="E39" t="s">
        <v>12</v>
      </c>
      <c r="F39" s="1">
        <v>4.4000000000000004</v>
      </c>
      <c r="G39" t="str">
        <f t="shared" si="1"/>
        <v>Low</v>
      </c>
      <c r="H39">
        <v>1.3</v>
      </c>
      <c r="I39">
        <v>2.02</v>
      </c>
      <c r="J39" s="1">
        <v>0.5</v>
      </c>
      <c r="K39" t="str">
        <f t="shared" si="2"/>
        <v>0-1 hours</v>
      </c>
      <c r="L39" t="s">
        <v>13</v>
      </c>
      <c r="M39">
        <v>5</v>
      </c>
      <c r="N39">
        <v>10</v>
      </c>
      <c r="O39">
        <v>6</v>
      </c>
      <c r="P39">
        <v>0</v>
      </c>
    </row>
    <row r="40" spans="1:16" x14ac:dyDescent="0.25">
      <c r="A40">
        <v>17</v>
      </c>
      <c r="B40" t="s">
        <v>14</v>
      </c>
      <c r="C40">
        <v>1.3</v>
      </c>
      <c r="D40" t="str">
        <f t="shared" si="0"/>
        <v>Low</v>
      </c>
      <c r="E40" t="s">
        <v>15</v>
      </c>
      <c r="F40" s="1">
        <v>8</v>
      </c>
      <c r="G40" t="str">
        <f t="shared" si="1"/>
        <v>Normal</v>
      </c>
      <c r="H40">
        <v>2</v>
      </c>
      <c r="I40">
        <v>2.84</v>
      </c>
      <c r="J40" s="1">
        <v>1.8</v>
      </c>
      <c r="K40" t="str">
        <f t="shared" si="2"/>
        <v>1-2 hours</v>
      </c>
      <c r="L40" t="s">
        <v>16</v>
      </c>
      <c r="M40">
        <v>1</v>
      </c>
      <c r="N40">
        <v>7</v>
      </c>
      <c r="O40">
        <v>8</v>
      </c>
      <c r="P40">
        <v>0</v>
      </c>
    </row>
    <row r="41" spans="1:16" x14ac:dyDescent="0.25">
      <c r="A41">
        <v>17</v>
      </c>
      <c r="B41" t="s">
        <v>14</v>
      </c>
      <c r="C41">
        <v>6.3</v>
      </c>
      <c r="D41" t="str">
        <f t="shared" si="0"/>
        <v>Medium</v>
      </c>
      <c r="E41" t="s">
        <v>12</v>
      </c>
      <c r="F41" s="1">
        <v>4</v>
      </c>
      <c r="G41" t="str">
        <f t="shared" si="1"/>
        <v>Low</v>
      </c>
      <c r="H41">
        <v>1</v>
      </c>
      <c r="I41">
        <v>2.4300000000000002</v>
      </c>
      <c r="J41" s="1">
        <v>1.2</v>
      </c>
      <c r="K41" t="str">
        <f t="shared" si="2"/>
        <v>1-2 hours</v>
      </c>
      <c r="L41" t="s">
        <v>16</v>
      </c>
      <c r="M41">
        <v>1</v>
      </c>
      <c r="N41">
        <v>10</v>
      </c>
      <c r="O41">
        <v>9</v>
      </c>
      <c r="P41">
        <v>0</v>
      </c>
    </row>
    <row r="42" spans="1:16" x14ac:dyDescent="0.25">
      <c r="A42">
        <v>14</v>
      </c>
      <c r="B42" t="s">
        <v>11</v>
      </c>
      <c r="C42">
        <v>6.4</v>
      </c>
      <c r="D42" t="str">
        <f t="shared" si="0"/>
        <v>Medium</v>
      </c>
      <c r="E42" t="s">
        <v>12</v>
      </c>
      <c r="F42" s="1">
        <v>5.7</v>
      </c>
      <c r="G42" t="str">
        <f t="shared" si="1"/>
        <v>Low</v>
      </c>
      <c r="H42">
        <v>0.9</v>
      </c>
      <c r="I42">
        <v>2.06</v>
      </c>
      <c r="J42" s="1">
        <v>1.8</v>
      </c>
      <c r="K42" t="str">
        <f t="shared" si="2"/>
        <v>1-2 hours</v>
      </c>
      <c r="L42" t="s">
        <v>16</v>
      </c>
      <c r="M42">
        <v>10</v>
      </c>
      <c r="N42">
        <v>4</v>
      </c>
      <c r="O42">
        <v>2</v>
      </c>
      <c r="P42">
        <v>0</v>
      </c>
    </row>
    <row r="43" spans="1:16" x14ac:dyDescent="0.25">
      <c r="A43">
        <v>19</v>
      </c>
      <c r="B43" t="s">
        <v>11</v>
      </c>
      <c r="C43">
        <v>1.6</v>
      </c>
      <c r="D43" t="str">
        <f t="shared" si="0"/>
        <v>Low</v>
      </c>
      <c r="E43" t="s">
        <v>12</v>
      </c>
      <c r="F43" s="1">
        <v>8.6</v>
      </c>
      <c r="G43" t="str">
        <f t="shared" si="1"/>
        <v>Normal</v>
      </c>
      <c r="H43">
        <v>2.4</v>
      </c>
      <c r="I43">
        <v>3.81</v>
      </c>
      <c r="J43" s="1">
        <v>0.4</v>
      </c>
      <c r="K43" t="str">
        <f t="shared" si="2"/>
        <v>0-1 hours</v>
      </c>
      <c r="L43" t="s">
        <v>13</v>
      </c>
      <c r="M43">
        <v>10</v>
      </c>
      <c r="N43">
        <v>4</v>
      </c>
      <c r="O43">
        <v>1</v>
      </c>
      <c r="P43">
        <v>0</v>
      </c>
    </row>
    <row r="44" spans="1:16" x14ac:dyDescent="0.25">
      <c r="A44">
        <v>14</v>
      </c>
      <c r="B44" t="s">
        <v>14</v>
      </c>
      <c r="C44">
        <v>7.3</v>
      </c>
      <c r="D44" t="str">
        <f t="shared" si="0"/>
        <v>High</v>
      </c>
      <c r="E44" t="s">
        <v>12</v>
      </c>
      <c r="F44" s="1">
        <v>7.7</v>
      </c>
      <c r="G44" t="str">
        <f t="shared" si="1"/>
        <v>Low</v>
      </c>
      <c r="H44">
        <v>1.4</v>
      </c>
      <c r="I44">
        <v>3.42</v>
      </c>
      <c r="J44" s="1">
        <v>0.3</v>
      </c>
      <c r="K44" t="str">
        <f t="shared" si="2"/>
        <v>0-1 hours</v>
      </c>
      <c r="L44" t="s">
        <v>17</v>
      </c>
      <c r="M44">
        <v>6</v>
      </c>
      <c r="N44">
        <v>1</v>
      </c>
      <c r="O44">
        <v>8</v>
      </c>
      <c r="P44">
        <v>0</v>
      </c>
    </row>
    <row r="45" spans="1:16" x14ac:dyDescent="0.25">
      <c r="A45">
        <v>15</v>
      </c>
      <c r="B45" t="s">
        <v>11</v>
      </c>
      <c r="C45">
        <v>4</v>
      </c>
      <c r="D45" t="str">
        <f t="shared" si="0"/>
        <v>Medium</v>
      </c>
      <c r="E45" t="s">
        <v>18</v>
      </c>
      <c r="F45" s="1">
        <v>8.8000000000000007</v>
      </c>
      <c r="G45" t="str">
        <f t="shared" si="1"/>
        <v>Normal</v>
      </c>
      <c r="H45">
        <v>1.3</v>
      </c>
      <c r="I45">
        <v>3.59</v>
      </c>
      <c r="J45" s="1">
        <v>1.9</v>
      </c>
      <c r="K45" t="str">
        <f t="shared" si="2"/>
        <v>1-2 hours</v>
      </c>
      <c r="L45" t="s">
        <v>17</v>
      </c>
      <c r="M45">
        <v>10</v>
      </c>
      <c r="N45">
        <v>6</v>
      </c>
      <c r="O45">
        <v>10</v>
      </c>
      <c r="P45">
        <v>0</v>
      </c>
    </row>
    <row r="46" spans="1:16" x14ac:dyDescent="0.25">
      <c r="A46">
        <v>14</v>
      </c>
      <c r="B46" t="s">
        <v>11</v>
      </c>
      <c r="C46">
        <v>5.2</v>
      </c>
      <c r="D46" t="str">
        <f t="shared" si="0"/>
        <v>Medium</v>
      </c>
      <c r="E46" t="s">
        <v>18</v>
      </c>
      <c r="F46" s="1">
        <v>4.0999999999999996</v>
      </c>
      <c r="G46" t="str">
        <f t="shared" si="1"/>
        <v>Low</v>
      </c>
      <c r="H46">
        <v>2.1</v>
      </c>
      <c r="I46">
        <v>3.07</v>
      </c>
      <c r="J46" s="1">
        <v>0.2</v>
      </c>
      <c r="K46" t="str">
        <f t="shared" si="2"/>
        <v>0-1 hours</v>
      </c>
      <c r="L46" t="s">
        <v>17</v>
      </c>
      <c r="M46">
        <v>9</v>
      </c>
      <c r="N46">
        <v>3</v>
      </c>
      <c r="O46">
        <v>8</v>
      </c>
      <c r="P46">
        <v>0</v>
      </c>
    </row>
    <row r="47" spans="1:16" x14ac:dyDescent="0.25">
      <c r="A47">
        <v>14</v>
      </c>
      <c r="B47" t="s">
        <v>14</v>
      </c>
      <c r="C47">
        <v>4.5</v>
      </c>
      <c r="D47" t="str">
        <f t="shared" si="0"/>
        <v>Medium</v>
      </c>
      <c r="E47" t="s">
        <v>15</v>
      </c>
      <c r="F47" s="1">
        <v>4.8</v>
      </c>
      <c r="G47" t="str">
        <f t="shared" si="1"/>
        <v>Low</v>
      </c>
      <c r="H47">
        <v>0.9</v>
      </c>
      <c r="I47">
        <v>2.2200000000000002</v>
      </c>
      <c r="J47" s="1">
        <v>0.8</v>
      </c>
      <c r="K47" t="str">
        <f t="shared" si="2"/>
        <v>0-1 hours</v>
      </c>
      <c r="L47" t="s">
        <v>13</v>
      </c>
      <c r="M47">
        <v>1</v>
      </c>
      <c r="N47">
        <v>4</v>
      </c>
      <c r="O47">
        <v>10</v>
      </c>
      <c r="P47">
        <v>0</v>
      </c>
    </row>
    <row r="48" spans="1:16" x14ac:dyDescent="0.25">
      <c r="A48">
        <v>18</v>
      </c>
      <c r="B48" t="s">
        <v>11</v>
      </c>
      <c r="C48">
        <v>6.8</v>
      </c>
      <c r="D48" t="str">
        <f t="shared" si="0"/>
        <v>Medium</v>
      </c>
      <c r="E48" t="s">
        <v>15</v>
      </c>
      <c r="F48" s="1">
        <v>8.6</v>
      </c>
      <c r="G48" t="str">
        <f t="shared" si="1"/>
        <v>Normal</v>
      </c>
      <c r="H48">
        <v>1.1000000000000001</v>
      </c>
      <c r="I48">
        <v>2.36</v>
      </c>
      <c r="J48" s="1">
        <v>1.6</v>
      </c>
      <c r="K48" t="str">
        <f t="shared" si="2"/>
        <v>1-2 hours</v>
      </c>
      <c r="L48" t="s">
        <v>16</v>
      </c>
      <c r="M48">
        <v>1</v>
      </c>
      <c r="N48">
        <v>10</v>
      </c>
      <c r="O48">
        <v>10</v>
      </c>
      <c r="P48">
        <v>0</v>
      </c>
    </row>
    <row r="49" spans="1:16" x14ac:dyDescent="0.25">
      <c r="A49">
        <v>13</v>
      </c>
      <c r="B49" t="s">
        <v>14</v>
      </c>
      <c r="C49">
        <v>3.5</v>
      </c>
      <c r="D49" t="str">
        <f t="shared" si="0"/>
        <v>Medium</v>
      </c>
      <c r="E49" t="s">
        <v>12</v>
      </c>
      <c r="F49" s="1">
        <v>5.0999999999999996</v>
      </c>
      <c r="G49" t="str">
        <f t="shared" si="1"/>
        <v>Low</v>
      </c>
      <c r="H49">
        <v>1.1000000000000001</v>
      </c>
      <c r="I49">
        <v>2.27</v>
      </c>
      <c r="J49" s="1">
        <v>1.8</v>
      </c>
      <c r="K49" t="str">
        <f t="shared" si="2"/>
        <v>1-2 hours</v>
      </c>
      <c r="L49" t="s">
        <v>17</v>
      </c>
      <c r="M49">
        <v>2</v>
      </c>
      <c r="N49">
        <v>5</v>
      </c>
      <c r="O49">
        <v>6</v>
      </c>
      <c r="P49">
        <v>0</v>
      </c>
    </row>
    <row r="50" spans="1:16" x14ac:dyDescent="0.25">
      <c r="A50">
        <v>16</v>
      </c>
      <c r="B50" t="s">
        <v>11</v>
      </c>
      <c r="C50">
        <v>2.2999999999999998</v>
      </c>
      <c r="D50" t="str">
        <f t="shared" si="0"/>
        <v>Medium</v>
      </c>
      <c r="E50" t="s">
        <v>15</v>
      </c>
      <c r="F50" s="1">
        <v>6.3</v>
      </c>
      <c r="G50" t="str">
        <f t="shared" si="1"/>
        <v>Low</v>
      </c>
      <c r="H50">
        <v>3</v>
      </c>
      <c r="I50">
        <v>3.24</v>
      </c>
      <c r="J50" s="1">
        <v>1.9</v>
      </c>
      <c r="K50" t="str">
        <f t="shared" si="2"/>
        <v>1-2 hours</v>
      </c>
      <c r="L50" t="s">
        <v>17</v>
      </c>
      <c r="M50">
        <v>4</v>
      </c>
      <c r="N50">
        <v>4</v>
      </c>
      <c r="O50">
        <v>9</v>
      </c>
      <c r="P50">
        <v>0</v>
      </c>
    </row>
    <row r="51" spans="1:16" x14ac:dyDescent="0.25">
      <c r="A51">
        <v>14</v>
      </c>
      <c r="B51" t="s">
        <v>11</v>
      </c>
      <c r="C51">
        <v>1.2</v>
      </c>
      <c r="D51" t="str">
        <f t="shared" si="0"/>
        <v>Low</v>
      </c>
      <c r="E51" t="s">
        <v>12</v>
      </c>
      <c r="F51" s="1">
        <v>8.5</v>
      </c>
      <c r="G51" t="str">
        <f t="shared" si="1"/>
        <v>Normal</v>
      </c>
      <c r="H51">
        <v>1.8</v>
      </c>
      <c r="I51">
        <v>3.65</v>
      </c>
      <c r="J51" s="1">
        <v>1.8</v>
      </c>
      <c r="K51" t="str">
        <f t="shared" si="2"/>
        <v>1-2 hours</v>
      </c>
      <c r="L51" t="s">
        <v>16</v>
      </c>
      <c r="M51">
        <v>5</v>
      </c>
      <c r="N51">
        <v>10</v>
      </c>
      <c r="O51">
        <v>10</v>
      </c>
      <c r="P51">
        <v>0</v>
      </c>
    </row>
    <row r="52" spans="1:16" x14ac:dyDescent="0.25">
      <c r="A52">
        <v>13</v>
      </c>
      <c r="B52" t="s">
        <v>11</v>
      </c>
      <c r="C52">
        <v>6.2</v>
      </c>
      <c r="D52" t="str">
        <f t="shared" si="0"/>
        <v>Medium</v>
      </c>
      <c r="E52" t="s">
        <v>18</v>
      </c>
      <c r="F52" s="1">
        <v>7.1</v>
      </c>
      <c r="G52" t="str">
        <f t="shared" si="1"/>
        <v>Low</v>
      </c>
      <c r="H52">
        <v>2.2000000000000002</v>
      </c>
      <c r="I52">
        <v>3.43</v>
      </c>
      <c r="J52" s="1">
        <v>0.2</v>
      </c>
      <c r="K52" t="str">
        <f t="shared" si="2"/>
        <v>0-1 hours</v>
      </c>
      <c r="L52" t="s">
        <v>17</v>
      </c>
      <c r="M52">
        <v>5</v>
      </c>
      <c r="N52">
        <v>2</v>
      </c>
      <c r="O52">
        <v>2</v>
      </c>
      <c r="P52">
        <v>0</v>
      </c>
    </row>
    <row r="53" spans="1:16" x14ac:dyDescent="0.25">
      <c r="A53">
        <v>18</v>
      </c>
      <c r="B53" t="s">
        <v>11</v>
      </c>
      <c r="C53">
        <v>4.5</v>
      </c>
      <c r="D53" t="str">
        <f t="shared" si="0"/>
        <v>Medium</v>
      </c>
      <c r="E53" t="s">
        <v>15</v>
      </c>
      <c r="F53" s="1">
        <v>4.0999999999999996</v>
      </c>
      <c r="G53" t="str">
        <f t="shared" si="1"/>
        <v>Low</v>
      </c>
      <c r="H53">
        <v>1.9</v>
      </c>
      <c r="I53">
        <v>3.42</v>
      </c>
      <c r="J53" s="1">
        <v>0.1</v>
      </c>
      <c r="K53" t="str">
        <f t="shared" si="2"/>
        <v>0-1 hours</v>
      </c>
      <c r="L53" t="s">
        <v>17</v>
      </c>
      <c r="M53">
        <v>6</v>
      </c>
      <c r="N53">
        <v>7</v>
      </c>
      <c r="O53">
        <v>8</v>
      </c>
      <c r="P53">
        <v>0</v>
      </c>
    </row>
    <row r="54" spans="1:16" x14ac:dyDescent="0.25">
      <c r="A54">
        <v>18</v>
      </c>
      <c r="B54" t="s">
        <v>11</v>
      </c>
      <c r="C54">
        <v>2.9</v>
      </c>
      <c r="D54" t="str">
        <f t="shared" si="0"/>
        <v>Medium</v>
      </c>
      <c r="E54" t="s">
        <v>12</v>
      </c>
      <c r="F54" s="1">
        <v>4.5</v>
      </c>
      <c r="G54" t="str">
        <f t="shared" si="1"/>
        <v>Low</v>
      </c>
      <c r="H54">
        <v>2.5</v>
      </c>
      <c r="I54">
        <v>3.16</v>
      </c>
      <c r="J54" s="1">
        <v>1.3</v>
      </c>
      <c r="K54" t="str">
        <f t="shared" si="2"/>
        <v>1-2 hours</v>
      </c>
      <c r="L54" t="s">
        <v>13</v>
      </c>
      <c r="M54">
        <v>3</v>
      </c>
      <c r="N54">
        <v>7</v>
      </c>
      <c r="O54">
        <v>8</v>
      </c>
      <c r="P54">
        <v>0</v>
      </c>
    </row>
    <row r="55" spans="1:16" x14ac:dyDescent="0.25">
      <c r="A55">
        <v>13</v>
      </c>
      <c r="B55" t="s">
        <v>14</v>
      </c>
      <c r="C55">
        <v>5.8</v>
      </c>
      <c r="D55" t="str">
        <f t="shared" si="0"/>
        <v>Medium</v>
      </c>
      <c r="E55" t="s">
        <v>15</v>
      </c>
      <c r="F55" s="1">
        <v>8.5</v>
      </c>
      <c r="G55" t="str">
        <f t="shared" si="1"/>
        <v>Normal</v>
      </c>
      <c r="H55">
        <v>2.2999999999999998</v>
      </c>
      <c r="I55">
        <v>3.3</v>
      </c>
      <c r="J55" s="1">
        <v>1.9</v>
      </c>
      <c r="K55" t="str">
        <f t="shared" si="2"/>
        <v>1-2 hours</v>
      </c>
      <c r="L55" t="s">
        <v>16</v>
      </c>
      <c r="M55">
        <v>1</v>
      </c>
      <c r="N55">
        <v>1</v>
      </c>
      <c r="O55">
        <v>5</v>
      </c>
      <c r="P55">
        <v>0</v>
      </c>
    </row>
    <row r="56" spans="1:16" x14ac:dyDescent="0.25">
      <c r="A56">
        <v>18</v>
      </c>
      <c r="B56" t="s">
        <v>11</v>
      </c>
      <c r="C56">
        <v>6.8</v>
      </c>
      <c r="D56" t="str">
        <f t="shared" si="0"/>
        <v>Medium</v>
      </c>
      <c r="E56" t="s">
        <v>12</v>
      </c>
      <c r="F56" s="1">
        <v>6.5</v>
      </c>
      <c r="G56" t="str">
        <f t="shared" si="1"/>
        <v>Low</v>
      </c>
      <c r="H56">
        <v>2.7</v>
      </c>
      <c r="I56">
        <v>2.97</v>
      </c>
      <c r="J56" s="1">
        <v>1.9</v>
      </c>
      <c r="K56" t="str">
        <f t="shared" si="2"/>
        <v>1-2 hours</v>
      </c>
      <c r="L56" t="s">
        <v>13</v>
      </c>
      <c r="M56">
        <v>4</v>
      </c>
      <c r="N56">
        <v>4</v>
      </c>
      <c r="O56">
        <v>5</v>
      </c>
      <c r="P56">
        <v>0</v>
      </c>
    </row>
    <row r="57" spans="1:16" x14ac:dyDescent="0.25">
      <c r="A57">
        <v>15</v>
      </c>
      <c r="B57" t="s">
        <v>14</v>
      </c>
      <c r="C57">
        <v>7.4</v>
      </c>
      <c r="D57" t="str">
        <f t="shared" si="0"/>
        <v>High</v>
      </c>
      <c r="E57" t="s">
        <v>12</v>
      </c>
      <c r="F57" s="1">
        <v>8.6</v>
      </c>
      <c r="G57" t="str">
        <f t="shared" si="1"/>
        <v>Normal</v>
      </c>
      <c r="H57">
        <v>0.9</v>
      </c>
      <c r="I57">
        <v>2.2999999999999998</v>
      </c>
      <c r="J57" s="1">
        <v>0</v>
      </c>
      <c r="K57" t="str">
        <f t="shared" si="2"/>
        <v>No activity</v>
      </c>
      <c r="L57" t="s">
        <v>13</v>
      </c>
      <c r="M57">
        <v>1</v>
      </c>
      <c r="N57">
        <v>5</v>
      </c>
      <c r="O57">
        <v>3</v>
      </c>
      <c r="P57">
        <v>0</v>
      </c>
    </row>
    <row r="58" spans="1:16" x14ac:dyDescent="0.25">
      <c r="A58">
        <v>18</v>
      </c>
      <c r="B58" t="s">
        <v>11</v>
      </c>
      <c r="C58">
        <v>4.5</v>
      </c>
      <c r="D58" t="str">
        <f t="shared" si="0"/>
        <v>Medium</v>
      </c>
      <c r="E58" t="s">
        <v>15</v>
      </c>
      <c r="F58" s="1">
        <v>5</v>
      </c>
      <c r="G58" t="str">
        <f t="shared" si="1"/>
        <v>Low</v>
      </c>
      <c r="H58">
        <v>2.5</v>
      </c>
      <c r="I58">
        <v>2.65</v>
      </c>
      <c r="J58" s="1">
        <v>0.7</v>
      </c>
      <c r="K58" t="str">
        <f t="shared" si="2"/>
        <v>0-1 hours</v>
      </c>
      <c r="L58" t="s">
        <v>17</v>
      </c>
      <c r="M58">
        <v>8</v>
      </c>
      <c r="N58">
        <v>9</v>
      </c>
      <c r="O58">
        <v>1</v>
      </c>
      <c r="P58">
        <v>0</v>
      </c>
    </row>
    <row r="59" spans="1:16" x14ac:dyDescent="0.25">
      <c r="A59">
        <v>16</v>
      </c>
      <c r="B59" t="s">
        <v>11</v>
      </c>
      <c r="C59">
        <v>6.4</v>
      </c>
      <c r="D59" t="str">
        <f t="shared" si="0"/>
        <v>Medium</v>
      </c>
      <c r="E59" t="s">
        <v>15</v>
      </c>
      <c r="F59" s="1">
        <v>5.3</v>
      </c>
      <c r="G59" t="str">
        <f t="shared" si="1"/>
        <v>Low</v>
      </c>
      <c r="H59">
        <v>2.4</v>
      </c>
      <c r="I59">
        <v>2.0299999999999998</v>
      </c>
      <c r="J59" s="1">
        <v>1.7</v>
      </c>
      <c r="K59" t="str">
        <f t="shared" si="2"/>
        <v>1-2 hours</v>
      </c>
      <c r="L59" t="s">
        <v>17</v>
      </c>
      <c r="M59">
        <v>7</v>
      </c>
      <c r="N59">
        <v>5</v>
      </c>
      <c r="O59">
        <v>10</v>
      </c>
      <c r="P59">
        <v>0</v>
      </c>
    </row>
    <row r="60" spans="1:16" x14ac:dyDescent="0.25">
      <c r="A60">
        <v>13</v>
      </c>
      <c r="B60" t="s">
        <v>11</v>
      </c>
      <c r="C60">
        <v>7.3</v>
      </c>
      <c r="D60" t="str">
        <f t="shared" si="0"/>
        <v>High</v>
      </c>
      <c r="E60" t="s">
        <v>18</v>
      </c>
      <c r="F60" s="1">
        <v>4.2</v>
      </c>
      <c r="G60" t="str">
        <f t="shared" si="1"/>
        <v>Low</v>
      </c>
      <c r="H60">
        <v>1.3</v>
      </c>
      <c r="I60">
        <v>2.16</v>
      </c>
      <c r="J60" s="1">
        <v>1</v>
      </c>
      <c r="K60" t="str">
        <f t="shared" si="2"/>
        <v>0-1 hours</v>
      </c>
      <c r="L60" t="s">
        <v>16</v>
      </c>
      <c r="M60">
        <v>4</v>
      </c>
      <c r="N60">
        <v>5</v>
      </c>
      <c r="O60">
        <v>2</v>
      </c>
      <c r="P60">
        <v>0</v>
      </c>
    </row>
    <row r="61" spans="1:16" x14ac:dyDescent="0.25">
      <c r="A61">
        <v>17</v>
      </c>
      <c r="B61" t="s">
        <v>14</v>
      </c>
      <c r="C61">
        <v>7.1</v>
      </c>
      <c r="D61" t="str">
        <f t="shared" si="0"/>
        <v>High</v>
      </c>
      <c r="E61" t="s">
        <v>12</v>
      </c>
      <c r="F61" s="1">
        <v>5.6</v>
      </c>
      <c r="G61" t="str">
        <f t="shared" si="1"/>
        <v>Low</v>
      </c>
      <c r="H61">
        <v>0.6</v>
      </c>
      <c r="I61">
        <v>3.07</v>
      </c>
      <c r="J61" s="1">
        <v>1</v>
      </c>
      <c r="K61" t="str">
        <f t="shared" si="2"/>
        <v>0-1 hours</v>
      </c>
      <c r="L61" t="s">
        <v>17</v>
      </c>
      <c r="M61">
        <v>1</v>
      </c>
      <c r="N61">
        <v>3</v>
      </c>
      <c r="O61">
        <v>7</v>
      </c>
      <c r="P61">
        <v>0</v>
      </c>
    </row>
    <row r="62" spans="1:16" x14ac:dyDescent="0.25">
      <c r="A62">
        <v>18</v>
      </c>
      <c r="B62" t="s">
        <v>11</v>
      </c>
      <c r="C62">
        <v>1.6</v>
      </c>
      <c r="D62" t="str">
        <f t="shared" si="0"/>
        <v>Low</v>
      </c>
      <c r="E62" t="s">
        <v>15</v>
      </c>
      <c r="F62" s="1">
        <v>5.0999999999999996</v>
      </c>
      <c r="G62" t="str">
        <f t="shared" si="1"/>
        <v>Low</v>
      </c>
      <c r="H62">
        <v>2.7</v>
      </c>
      <c r="I62">
        <v>3.57</v>
      </c>
      <c r="J62" s="1">
        <v>0.8</v>
      </c>
      <c r="K62" t="str">
        <f t="shared" si="2"/>
        <v>0-1 hours</v>
      </c>
      <c r="L62" t="s">
        <v>16</v>
      </c>
      <c r="M62">
        <v>3</v>
      </c>
      <c r="N62">
        <v>9</v>
      </c>
      <c r="O62">
        <v>7</v>
      </c>
      <c r="P62">
        <v>0</v>
      </c>
    </row>
    <row r="63" spans="1:16" x14ac:dyDescent="0.25">
      <c r="A63">
        <v>15</v>
      </c>
      <c r="B63" t="s">
        <v>14</v>
      </c>
      <c r="C63">
        <v>1.5</v>
      </c>
      <c r="D63" t="str">
        <f t="shared" si="0"/>
        <v>Low</v>
      </c>
      <c r="E63" t="s">
        <v>12</v>
      </c>
      <c r="F63" s="1">
        <v>4.7</v>
      </c>
      <c r="G63" t="str">
        <f t="shared" si="1"/>
        <v>Low</v>
      </c>
      <c r="H63">
        <v>1</v>
      </c>
      <c r="I63">
        <v>3.82</v>
      </c>
      <c r="J63" s="1">
        <v>0.6</v>
      </c>
      <c r="K63" t="str">
        <f t="shared" si="2"/>
        <v>0-1 hours</v>
      </c>
      <c r="L63" t="s">
        <v>17</v>
      </c>
      <c r="M63">
        <v>6</v>
      </c>
      <c r="N63">
        <v>1</v>
      </c>
      <c r="O63">
        <v>4</v>
      </c>
      <c r="P63">
        <v>0</v>
      </c>
    </row>
    <row r="64" spans="1:16" x14ac:dyDescent="0.25">
      <c r="A64">
        <v>13</v>
      </c>
      <c r="B64" t="s">
        <v>11</v>
      </c>
      <c r="C64">
        <v>4.3</v>
      </c>
      <c r="D64" t="str">
        <f t="shared" si="0"/>
        <v>Medium</v>
      </c>
      <c r="E64" t="s">
        <v>18</v>
      </c>
      <c r="F64" s="1">
        <v>5.8</v>
      </c>
      <c r="G64" t="str">
        <f t="shared" si="1"/>
        <v>Low</v>
      </c>
      <c r="H64">
        <v>0.7</v>
      </c>
      <c r="I64">
        <v>3.15</v>
      </c>
      <c r="J64" s="1">
        <v>0.1</v>
      </c>
      <c r="K64" t="str">
        <f t="shared" si="2"/>
        <v>0-1 hours</v>
      </c>
      <c r="L64" t="s">
        <v>17</v>
      </c>
      <c r="M64">
        <v>7</v>
      </c>
      <c r="N64">
        <v>2</v>
      </c>
      <c r="O64">
        <v>1</v>
      </c>
      <c r="P64">
        <v>0</v>
      </c>
    </row>
    <row r="65" spans="1:16" x14ac:dyDescent="0.25">
      <c r="A65">
        <v>17</v>
      </c>
      <c r="B65" t="s">
        <v>11</v>
      </c>
      <c r="C65">
        <v>2.5</v>
      </c>
      <c r="D65" t="str">
        <f t="shared" si="0"/>
        <v>Medium</v>
      </c>
      <c r="E65" t="s">
        <v>18</v>
      </c>
      <c r="F65" s="1">
        <v>6.7</v>
      </c>
      <c r="G65" t="str">
        <f t="shared" si="1"/>
        <v>Low</v>
      </c>
      <c r="H65">
        <v>2</v>
      </c>
      <c r="I65">
        <v>2.56</v>
      </c>
      <c r="J65" s="1">
        <v>1.7</v>
      </c>
      <c r="K65" t="str">
        <f t="shared" si="2"/>
        <v>1-2 hours</v>
      </c>
      <c r="L65" t="s">
        <v>16</v>
      </c>
      <c r="M65">
        <v>5</v>
      </c>
      <c r="N65">
        <v>7</v>
      </c>
      <c r="O65">
        <v>5</v>
      </c>
      <c r="P65">
        <v>0</v>
      </c>
    </row>
    <row r="66" spans="1:16" x14ac:dyDescent="0.25">
      <c r="A66">
        <v>19</v>
      </c>
      <c r="B66" t="s">
        <v>14</v>
      </c>
      <c r="C66">
        <v>7.9</v>
      </c>
      <c r="D66" t="str">
        <f t="shared" ref="D66:D129" si="3">IF(C66&lt;2,"Low",IF(C66&lt;7,"Medium","High"))</f>
        <v>High</v>
      </c>
      <c r="E66" t="s">
        <v>15</v>
      </c>
      <c r="F66" s="1">
        <v>5.0999999999999996</v>
      </c>
      <c r="G66" t="str">
        <f t="shared" ref="G66:G129" si="4">IF(F66&gt;=8,"Normal","Low")</f>
        <v>Low</v>
      </c>
      <c r="H66">
        <v>1.7</v>
      </c>
      <c r="I66">
        <v>2.8</v>
      </c>
      <c r="J66" s="1">
        <v>0.8</v>
      </c>
      <c r="K66" t="str">
        <f t="shared" ref="K66:K129" si="5">IF(J66=0,"No activity",IF(J66&lt;=1,"0-1 hours","1-2 hours"))</f>
        <v>0-1 hours</v>
      </c>
      <c r="L66" t="s">
        <v>13</v>
      </c>
      <c r="M66">
        <v>6</v>
      </c>
      <c r="N66">
        <v>1</v>
      </c>
      <c r="O66">
        <v>8</v>
      </c>
      <c r="P66">
        <v>0</v>
      </c>
    </row>
    <row r="67" spans="1:16" x14ac:dyDescent="0.25">
      <c r="A67">
        <v>17</v>
      </c>
      <c r="B67" t="s">
        <v>11</v>
      </c>
      <c r="C67">
        <v>2.7</v>
      </c>
      <c r="D67" t="str">
        <f t="shared" si="3"/>
        <v>Medium</v>
      </c>
      <c r="E67" t="s">
        <v>12</v>
      </c>
      <c r="F67" s="1">
        <v>8</v>
      </c>
      <c r="G67" t="str">
        <f t="shared" si="4"/>
        <v>Normal</v>
      </c>
      <c r="H67">
        <v>2.6</v>
      </c>
      <c r="I67">
        <v>3.53</v>
      </c>
      <c r="J67" s="1">
        <v>1.9</v>
      </c>
      <c r="K67" t="str">
        <f t="shared" si="5"/>
        <v>1-2 hours</v>
      </c>
      <c r="L67" t="s">
        <v>16</v>
      </c>
      <c r="M67">
        <v>1</v>
      </c>
      <c r="N67">
        <v>8</v>
      </c>
      <c r="O67">
        <v>7</v>
      </c>
      <c r="P67">
        <v>0</v>
      </c>
    </row>
    <row r="68" spans="1:16" x14ac:dyDescent="0.25">
      <c r="A68">
        <v>13</v>
      </c>
      <c r="B68" t="s">
        <v>11</v>
      </c>
      <c r="C68">
        <v>3.1</v>
      </c>
      <c r="D68" t="str">
        <f t="shared" si="3"/>
        <v>Medium</v>
      </c>
      <c r="E68" t="s">
        <v>15</v>
      </c>
      <c r="F68" s="1">
        <v>8.1999999999999993</v>
      </c>
      <c r="G68" t="str">
        <f t="shared" si="4"/>
        <v>Normal</v>
      </c>
      <c r="H68">
        <v>1.5</v>
      </c>
      <c r="I68">
        <v>2.4500000000000002</v>
      </c>
      <c r="J68" s="1">
        <v>0.3</v>
      </c>
      <c r="K68" t="str">
        <f t="shared" si="5"/>
        <v>0-1 hours</v>
      </c>
      <c r="L68" t="s">
        <v>13</v>
      </c>
      <c r="M68">
        <v>5</v>
      </c>
      <c r="N68">
        <v>8</v>
      </c>
      <c r="O68">
        <v>6</v>
      </c>
      <c r="P68">
        <v>0</v>
      </c>
    </row>
    <row r="69" spans="1:16" x14ac:dyDescent="0.25">
      <c r="A69">
        <v>17</v>
      </c>
      <c r="B69" t="s">
        <v>11</v>
      </c>
      <c r="C69">
        <v>5.8</v>
      </c>
      <c r="D69" t="str">
        <f t="shared" si="3"/>
        <v>Medium</v>
      </c>
      <c r="E69" t="s">
        <v>18</v>
      </c>
      <c r="F69" s="1">
        <v>7.6</v>
      </c>
      <c r="G69" t="str">
        <f t="shared" si="4"/>
        <v>Low</v>
      </c>
      <c r="H69">
        <v>0.7</v>
      </c>
      <c r="I69">
        <v>2.83</v>
      </c>
      <c r="J69" s="1">
        <v>1</v>
      </c>
      <c r="K69" t="str">
        <f t="shared" si="5"/>
        <v>0-1 hours</v>
      </c>
      <c r="L69" t="s">
        <v>17</v>
      </c>
      <c r="M69">
        <v>7</v>
      </c>
      <c r="N69">
        <v>6</v>
      </c>
      <c r="O69">
        <v>8</v>
      </c>
      <c r="P69">
        <v>0</v>
      </c>
    </row>
    <row r="70" spans="1:16" x14ac:dyDescent="0.25">
      <c r="A70">
        <v>14</v>
      </c>
      <c r="B70" t="s">
        <v>14</v>
      </c>
      <c r="C70">
        <v>3.9</v>
      </c>
      <c r="D70" t="str">
        <f t="shared" si="3"/>
        <v>Medium</v>
      </c>
      <c r="E70" t="s">
        <v>18</v>
      </c>
      <c r="F70" s="1">
        <v>7</v>
      </c>
      <c r="G70" t="str">
        <f t="shared" si="4"/>
        <v>Low</v>
      </c>
      <c r="H70">
        <v>2.8</v>
      </c>
      <c r="I70">
        <v>2.8</v>
      </c>
      <c r="J70" s="1">
        <v>0.1</v>
      </c>
      <c r="K70" t="str">
        <f t="shared" si="5"/>
        <v>0-1 hours</v>
      </c>
      <c r="L70" t="s">
        <v>13</v>
      </c>
      <c r="M70">
        <v>8</v>
      </c>
      <c r="N70">
        <v>2</v>
      </c>
      <c r="O70">
        <v>8</v>
      </c>
      <c r="P70">
        <v>0</v>
      </c>
    </row>
    <row r="71" spans="1:16" x14ac:dyDescent="0.25">
      <c r="A71">
        <v>15</v>
      </c>
      <c r="B71" t="s">
        <v>11</v>
      </c>
      <c r="C71">
        <v>7.5</v>
      </c>
      <c r="D71" t="str">
        <f t="shared" si="3"/>
        <v>High</v>
      </c>
      <c r="E71" t="s">
        <v>18</v>
      </c>
      <c r="F71" s="1">
        <v>7</v>
      </c>
      <c r="G71" t="str">
        <f t="shared" si="4"/>
        <v>Low</v>
      </c>
      <c r="H71">
        <v>0.9</v>
      </c>
      <c r="I71">
        <v>3.48</v>
      </c>
      <c r="J71" s="1">
        <v>1.1000000000000001</v>
      </c>
      <c r="K71" t="str">
        <f t="shared" si="5"/>
        <v>1-2 hours</v>
      </c>
      <c r="L71" t="s">
        <v>16</v>
      </c>
      <c r="M71">
        <v>2</v>
      </c>
      <c r="N71">
        <v>2</v>
      </c>
      <c r="O71">
        <v>6</v>
      </c>
      <c r="P71">
        <v>0</v>
      </c>
    </row>
    <row r="72" spans="1:16" x14ac:dyDescent="0.25">
      <c r="A72">
        <v>14</v>
      </c>
      <c r="B72" t="s">
        <v>11</v>
      </c>
      <c r="C72">
        <v>5.2</v>
      </c>
      <c r="D72" t="str">
        <f t="shared" si="3"/>
        <v>Medium</v>
      </c>
      <c r="E72" t="s">
        <v>18</v>
      </c>
      <c r="F72" s="1">
        <v>6.7</v>
      </c>
      <c r="G72" t="str">
        <f t="shared" si="4"/>
        <v>Low</v>
      </c>
      <c r="H72">
        <v>2</v>
      </c>
      <c r="I72">
        <v>3.48</v>
      </c>
      <c r="J72" s="1">
        <v>1</v>
      </c>
      <c r="K72" t="str">
        <f t="shared" si="5"/>
        <v>0-1 hours</v>
      </c>
      <c r="L72" t="s">
        <v>17</v>
      </c>
      <c r="M72">
        <v>2</v>
      </c>
      <c r="N72">
        <v>1</v>
      </c>
      <c r="O72">
        <v>5</v>
      </c>
      <c r="P72">
        <v>0</v>
      </c>
    </row>
    <row r="73" spans="1:16" x14ac:dyDescent="0.25">
      <c r="A73">
        <v>16</v>
      </c>
      <c r="B73" t="s">
        <v>14</v>
      </c>
      <c r="C73">
        <v>3.1</v>
      </c>
      <c r="D73" t="str">
        <f t="shared" si="3"/>
        <v>Medium</v>
      </c>
      <c r="E73" t="s">
        <v>15</v>
      </c>
      <c r="F73" s="1">
        <v>5</v>
      </c>
      <c r="G73" t="str">
        <f t="shared" si="4"/>
        <v>Low</v>
      </c>
      <c r="H73">
        <v>1.1000000000000001</v>
      </c>
      <c r="I73">
        <v>2.73</v>
      </c>
      <c r="J73" s="1">
        <v>1.6</v>
      </c>
      <c r="K73" t="str">
        <f t="shared" si="5"/>
        <v>1-2 hours</v>
      </c>
      <c r="L73" t="s">
        <v>13</v>
      </c>
      <c r="M73">
        <v>2</v>
      </c>
      <c r="N73">
        <v>8</v>
      </c>
      <c r="O73">
        <v>1</v>
      </c>
      <c r="P73">
        <v>0</v>
      </c>
    </row>
    <row r="74" spans="1:16" x14ac:dyDescent="0.25">
      <c r="A74">
        <v>16</v>
      </c>
      <c r="B74" t="s">
        <v>14</v>
      </c>
      <c r="C74">
        <v>2</v>
      </c>
      <c r="D74" t="str">
        <f t="shared" si="3"/>
        <v>Medium</v>
      </c>
      <c r="E74" t="s">
        <v>12</v>
      </c>
      <c r="F74" s="1">
        <v>8.6999999999999993</v>
      </c>
      <c r="G74" t="str">
        <f t="shared" si="4"/>
        <v>Normal</v>
      </c>
      <c r="H74">
        <v>1.2</v>
      </c>
      <c r="I74">
        <v>3</v>
      </c>
      <c r="J74" s="1">
        <v>0</v>
      </c>
      <c r="K74" t="str">
        <f t="shared" si="5"/>
        <v>No activity</v>
      </c>
      <c r="L74" t="s">
        <v>13</v>
      </c>
      <c r="M74">
        <v>8</v>
      </c>
      <c r="N74">
        <v>8</v>
      </c>
      <c r="O74">
        <v>4</v>
      </c>
      <c r="P74">
        <v>0</v>
      </c>
    </row>
    <row r="75" spans="1:16" x14ac:dyDescent="0.25">
      <c r="A75">
        <v>14</v>
      </c>
      <c r="B75" t="s">
        <v>11</v>
      </c>
      <c r="C75">
        <v>2.7</v>
      </c>
      <c r="D75" t="str">
        <f t="shared" si="3"/>
        <v>Medium</v>
      </c>
      <c r="E75" t="s">
        <v>12</v>
      </c>
      <c r="F75" s="1">
        <v>8.4</v>
      </c>
      <c r="G75" t="str">
        <f t="shared" si="4"/>
        <v>Normal</v>
      </c>
      <c r="H75">
        <v>1.3</v>
      </c>
      <c r="I75">
        <v>2.0099999999999998</v>
      </c>
      <c r="J75" s="1">
        <v>0.6</v>
      </c>
      <c r="K75" t="str">
        <f t="shared" si="5"/>
        <v>0-1 hours</v>
      </c>
      <c r="L75" t="s">
        <v>13</v>
      </c>
      <c r="M75">
        <v>6</v>
      </c>
      <c r="N75">
        <v>3</v>
      </c>
      <c r="O75">
        <v>8</v>
      </c>
      <c r="P75">
        <v>0</v>
      </c>
    </row>
    <row r="76" spans="1:16" x14ac:dyDescent="0.25">
      <c r="A76">
        <v>14</v>
      </c>
      <c r="B76" t="s">
        <v>11</v>
      </c>
      <c r="C76">
        <v>1.5</v>
      </c>
      <c r="D76" t="str">
        <f t="shared" si="3"/>
        <v>Low</v>
      </c>
      <c r="E76" t="s">
        <v>18</v>
      </c>
      <c r="F76" s="1">
        <v>4.3</v>
      </c>
      <c r="G76" t="str">
        <f t="shared" si="4"/>
        <v>Low</v>
      </c>
      <c r="H76">
        <v>2.1</v>
      </c>
      <c r="I76">
        <v>3.9</v>
      </c>
      <c r="J76" s="1">
        <v>1.5</v>
      </c>
      <c r="K76" t="str">
        <f t="shared" si="5"/>
        <v>1-2 hours</v>
      </c>
      <c r="L76" t="s">
        <v>13</v>
      </c>
      <c r="M76">
        <v>10</v>
      </c>
      <c r="N76">
        <v>2</v>
      </c>
      <c r="O76">
        <v>4</v>
      </c>
      <c r="P76">
        <v>0</v>
      </c>
    </row>
    <row r="77" spans="1:16" x14ac:dyDescent="0.25">
      <c r="A77">
        <v>17</v>
      </c>
      <c r="B77" t="s">
        <v>14</v>
      </c>
      <c r="C77">
        <v>6.9</v>
      </c>
      <c r="D77" t="str">
        <f t="shared" si="3"/>
        <v>Medium</v>
      </c>
      <c r="E77" t="s">
        <v>12</v>
      </c>
      <c r="F77" s="1">
        <v>8.1999999999999993</v>
      </c>
      <c r="G77" t="str">
        <f t="shared" si="4"/>
        <v>Normal</v>
      </c>
      <c r="H77">
        <v>0.8</v>
      </c>
      <c r="I77">
        <v>2.36</v>
      </c>
      <c r="J77" s="1">
        <v>0</v>
      </c>
      <c r="K77" t="str">
        <f t="shared" si="5"/>
        <v>No activity</v>
      </c>
      <c r="L77" t="s">
        <v>17</v>
      </c>
      <c r="M77">
        <v>10</v>
      </c>
      <c r="N77">
        <v>10</v>
      </c>
      <c r="O77">
        <v>7</v>
      </c>
      <c r="P77">
        <v>0</v>
      </c>
    </row>
    <row r="78" spans="1:16" x14ac:dyDescent="0.25">
      <c r="A78">
        <v>13</v>
      </c>
      <c r="B78" t="s">
        <v>11</v>
      </c>
      <c r="C78">
        <v>1.1000000000000001</v>
      </c>
      <c r="D78" t="str">
        <f t="shared" si="3"/>
        <v>Low</v>
      </c>
      <c r="E78" t="s">
        <v>15</v>
      </c>
      <c r="F78" s="1">
        <v>7.1</v>
      </c>
      <c r="G78" t="str">
        <f t="shared" si="4"/>
        <v>Low</v>
      </c>
      <c r="H78">
        <v>1.8</v>
      </c>
      <c r="I78">
        <v>2.5499999999999998</v>
      </c>
      <c r="J78" s="1">
        <v>0.8</v>
      </c>
      <c r="K78" t="str">
        <f t="shared" si="5"/>
        <v>0-1 hours</v>
      </c>
      <c r="L78" t="s">
        <v>16</v>
      </c>
      <c r="M78">
        <v>5</v>
      </c>
      <c r="N78">
        <v>5</v>
      </c>
      <c r="O78">
        <v>10</v>
      </c>
      <c r="P78">
        <v>0</v>
      </c>
    </row>
    <row r="79" spans="1:16" x14ac:dyDescent="0.25">
      <c r="A79">
        <v>13</v>
      </c>
      <c r="B79" t="s">
        <v>11</v>
      </c>
      <c r="C79">
        <v>3.4</v>
      </c>
      <c r="D79" t="str">
        <f t="shared" si="3"/>
        <v>Medium</v>
      </c>
      <c r="E79" t="s">
        <v>15</v>
      </c>
      <c r="F79" s="1">
        <v>4.4000000000000004</v>
      </c>
      <c r="G79" t="str">
        <f t="shared" si="4"/>
        <v>Low</v>
      </c>
      <c r="H79">
        <v>0.6</v>
      </c>
      <c r="I79">
        <v>3.41</v>
      </c>
      <c r="J79" s="1">
        <v>0.2</v>
      </c>
      <c r="K79" t="str">
        <f t="shared" si="5"/>
        <v>0-1 hours</v>
      </c>
      <c r="L79" t="s">
        <v>13</v>
      </c>
      <c r="M79">
        <v>8</v>
      </c>
      <c r="N79">
        <v>6</v>
      </c>
      <c r="O79">
        <v>3</v>
      </c>
      <c r="P79">
        <v>0</v>
      </c>
    </row>
    <row r="80" spans="1:16" x14ac:dyDescent="0.25">
      <c r="A80">
        <v>15</v>
      </c>
      <c r="B80" t="s">
        <v>11</v>
      </c>
      <c r="C80">
        <v>6.7</v>
      </c>
      <c r="D80" t="str">
        <f t="shared" si="3"/>
        <v>Medium</v>
      </c>
      <c r="E80" t="s">
        <v>18</v>
      </c>
      <c r="F80" s="1">
        <v>4.5</v>
      </c>
      <c r="G80" t="str">
        <f t="shared" si="4"/>
        <v>Low</v>
      </c>
      <c r="H80">
        <v>2.1</v>
      </c>
      <c r="I80">
        <v>3.71</v>
      </c>
      <c r="J80" s="1">
        <v>1.3</v>
      </c>
      <c r="K80" t="str">
        <f t="shared" si="5"/>
        <v>1-2 hours</v>
      </c>
      <c r="L80" t="s">
        <v>16</v>
      </c>
      <c r="M80">
        <v>3</v>
      </c>
      <c r="N80">
        <v>3</v>
      </c>
      <c r="O80">
        <v>3</v>
      </c>
      <c r="P80">
        <v>0</v>
      </c>
    </row>
    <row r="81" spans="1:16" x14ac:dyDescent="0.25">
      <c r="A81">
        <v>18</v>
      </c>
      <c r="B81" t="s">
        <v>11</v>
      </c>
      <c r="C81">
        <v>1.1000000000000001</v>
      </c>
      <c r="D81" t="str">
        <f t="shared" si="3"/>
        <v>Low</v>
      </c>
      <c r="E81" t="s">
        <v>18</v>
      </c>
      <c r="F81" s="1">
        <v>7.2</v>
      </c>
      <c r="G81" t="str">
        <f t="shared" si="4"/>
        <v>Low</v>
      </c>
      <c r="H81">
        <v>1</v>
      </c>
      <c r="I81">
        <v>3.13</v>
      </c>
      <c r="J81" s="1">
        <v>0.6</v>
      </c>
      <c r="K81" t="str">
        <f t="shared" si="5"/>
        <v>0-1 hours</v>
      </c>
      <c r="L81" t="s">
        <v>17</v>
      </c>
      <c r="M81">
        <v>2</v>
      </c>
      <c r="N81">
        <v>1</v>
      </c>
      <c r="O81">
        <v>4</v>
      </c>
      <c r="P81">
        <v>0</v>
      </c>
    </row>
    <row r="82" spans="1:16" x14ac:dyDescent="0.25">
      <c r="A82">
        <v>18</v>
      </c>
      <c r="B82" t="s">
        <v>14</v>
      </c>
      <c r="C82">
        <v>7.4</v>
      </c>
      <c r="D82" t="str">
        <f t="shared" si="3"/>
        <v>High</v>
      </c>
      <c r="E82" t="s">
        <v>12</v>
      </c>
      <c r="F82" s="1">
        <v>7.5</v>
      </c>
      <c r="G82" t="str">
        <f t="shared" si="4"/>
        <v>Low</v>
      </c>
      <c r="H82">
        <v>2.2999999999999998</v>
      </c>
      <c r="I82">
        <v>2.39</v>
      </c>
      <c r="J82" s="1">
        <v>0.9</v>
      </c>
      <c r="K82" t="str">
        <f t="shared" si="5"/>
        <v>0-1 hours</v>
      </c>
      <c r="L82" t="s">
        <v>16</v>
      </c>
      <c r="M82">
        <v>4</v>
      </c>
      <c r="N82">
        <v>1</v>
      </c>
      <c r="O82">
        <v>4</v>
      </c>
      <c r="P82">
        <v>0</v>
      </c>
    </row>
    <row r="83" spans="1:16" x14ac:dyDescent="0.25">
      <c r="A83">
        <v>19</v>
      </c>
      <c r="B83" t="s">
        <v>14</v>
      </c>
      <c r="C83">
        <v>4.8</v>
      </c>
      <c r="D83" t="str">
        <f t="shared" si="3"/>
        <v>Medium</v>
      </c>
      <c r="E83" t="s">
        <v>15</v>
      </c>
      <c r="F83" s="1">
        <v>6</v>
      </c>
      <c r="G83" t="str">
        <f t="shared" si="4"/>
        <v>Low</v>
      </c>
      <c r="H83">
        <v>1.5</v>
      </c>
      <c r="I83">
        <v>2.61</v>
      </c>
      <c r="J83" s="1">
        <v>1.2</v>
      </c>
      <c r="K83" t="str">
        <f t="shared" si="5"/>
        <v>1-2 hours</v>
      </c>
      <c r="L83" t="s">
        <v>16</v>
      </c>
      <c r="M83">
        <v>2</v>
      </c>
      <c r="N83">
        <v>2</v>
      </c>
      <c r="O83">
        <v>6</v>
      </c>
      <c r="P83">
        <v>0</v>
      </c>
    </row>
    <row r="84" spans="1:16" x14ac:dyDescent="0.25">
      <c r="A84">
        <v>14</v>
      </c>
      <c r="B84" t="s">
        <v>11</v>
      </c>
      <c r="C84">
        <v>1.2</v>
      </c>
      <c r="D84" t="str">
        <f t="shared" si="3"/>
        <v>Low</v>
      </c>
      <c r="E84" t="s">
        <v>18</v>
      </c>
      <c r="F84" s="1">
        <v>5.2</v>
      </c>
      <c r="G84" t="str">
        <f t="shared" si="4"/>
        <v>Low</v>
      </c>
      <c r="H84">
        <v>2.2000000000000002</v>
      </c>
      <c r="I84">
        <v>2.19</v>
      </c>
      <c r="J84" s="1">
        <v>1.9</v>
      </c>
      <c r="K84" t="str">
        <f t="shared" si="5"/>
        <v>1-2 hours</v>
      </c>
      <c r="L84" t="s">
        <v>17</v>
      </c>
      <c r="M84">
        <v>9</v>
      </c>
      <c r="N84">
        <v>9</v>
      </c>
      <c r="O84">
        <v>4</v>
      </c>
      <c r="P84">
        <v>0</v>
      </c>
    </row>
    <row r="85" spans="1:16" x14ac:dyDescent="0.25">
      <c r="A85">
        <v>13</v>
      </c>
      <c r="B85" t="s">
        <v>11</v>
      </c>
      <c r="C85">
        <v>7.4</v>
      </c>
      <c r="D85" t="str">
        <f t="shared" si="3"/>
        <v>High</v>
      </c>
      <c r="E85" t="s">
        <v>12</v>
      </c>
      <c r="F85" s="1">
        <v>5.6</v>
      </c>
      <c r="G85" t="str">
        <f t="shared" si="4"/>
        <v>Low</v>
      </c>
      <c r="H85">
        <v>1.4</v>
      </c>
      <c r="I85">
        <v>2.95</v>
      </c>
      <c r="J85" s="1">
        <v>1.7</v>
      </c>
      <c r="K85" t="str">
        <f t="shared" si="5"/>
        <v>1-2 hours</v>
      </c>
      <c r="L85" t="s">
        <v>16</v>
      </c>
      <c r="M85">
        <v>8</v>
      </c>
      <c r="N85">
        <v>5</v>
      </c>
      <c r="O85">
        <v>5</v>
      </c>
      <c r="P85">
        <v>0</v>
      </c>
    </row>
    <row r="86" spans="1:16" x14ac:dyDescent="0.25">
      <c r="A86">
        <v>16</v>
      </c>
      <c r="B86" t="s">
        <v>14</v>
      </c>
      <c r="C86">
        <v>2.6</v>
      </c>
      <c r="D86" t="str">
        <f t="shared" si="3"/>
        <v>Medium</v>
      </c>
      <c r="E86" t="s">
        <v>18</v>
      </c>
      <c r="F86" s="1">
        <v>8.6</v>
      </c>
      <c r="G86" t="str">
        <f t="shared" si="4"/>
        <v>Normal</v>
      </c>
      <c r="H86">
        <v>1.3</v>
      </c>
      <c r="I86">
        <v>3.64</v>
      </c>
      <c r="J86" s="1">
        <v>1.6</v>
      </c>
      <c r="K86" t="str">
        <f t="shared" si="5"/>
        <v>1-2 hours</v>
      </c>
      <c r="L86" t="s">
        <v>16</v>
      </c>
      <c r="M86">
        <v>5</v>
      </c>
      <c r="N86">
        <v>3</v>
      </c>
      <c r="O86">
        <v>1</v>
      </c>
      <c r="P86">
        <v>0</v>
      </c>
    </row>
    <row r="87" spans="1:16" x14ac:dyDescent="0.25">
      <c r="A87">
        <v>17</v>
      </c>
      <c r="B87" t="s">
        <v>14</v>
      </c>
      <c r="C87">
        <v>5</v>
      </c>
      <c r="D87" t="str">
        <f t="shared" si="3"/>
        <v>Medium</v>
      </c>
      <c r="E87" t="s">
        <v>18</v>
      </c>
      <c r="F87" s="1">
        <v>9</v>
      </c>
      <c r="G87" t="str">
        <f t="shared" si="4"/>
        <v>Normal</v>
      </c>
      <c r="H87">
        <v>2.5</v>
      </c>
      <c r="I87">
        <v>3.4</v>
      </c>
      <c r="J87" s="1">
        <v>0.9</v>
      </c>
      <c r="K87" t="str">
        <f t="shared" si="5"/>
        <v>0-1 hours</v>
      </c>
      <c r="L87" t="s">
        <v>16</v>
      </c>
      <c r="M87">
        <v>8</v>
      </c>
      <c r="N87">
        <v>10</v>
      </c>
      <c r="O87">
        <v>5</v>
      </c>
      <c r="P87">
        <v>0</v>
      </c>
    </row>
    <row r="88" spans="1:16" x14ac:dyDescent="0.25">
      <c r="A88">
        <v>18</v>
      </c>
      <c r="B88" t="s">
        <v>11</v>
      </c>
      <c r="C88">
        <v>7.5</v>
      </c>
      <c r="D88" t="str">
        <f t="shared" si="3"/>
        <v>High</v>
      </c>
      <c r="E88" t="s">
        <v>12</v>
      </c>
      <c r="F88" s="1">
        <v>7.4</v>
      </c>
      <c r="G88" t="str">
        <f t="shared" si="4"/>
        <v>Low</v>
      </c>
      <c r="H88">
        <v>1.8</v>
      </c>
      <c r="I88">
        <v>3.47</v>
      </c>
      <c r="J88" s="1">
        <v>0</v>
      </c>
      <c r="K88" t="str">
        <f t="shared" si="5"/>
        <v>No activity</v>
      </c>
      <c r="L88" t="s">
        <v>13</v>
      </c>
      <c r="M88">
        <v>9</v>
      </c>
      <c r="N88">
        <v>4</v>
      </c>
      <c r="O88">
        <v>2</v>
      </c>
      <c r="P88">
        <v>0</v>
      </c>
    </row>
    <row r="89" spans="1:16" x14ac:dyDescent="0.25">
      <c r="A89">
        <v>17</v>
      </c>
      <c r="B89" t="s">
        <v>14</v>
      </c>
      <c r="C89">
        <v>5.4</v>
      </c>
      <c r="D89" t="str">
        <f t="shared" si="3"/>
        <v>Medium</v>
      </c>
      <c r="E89" t="s">
        <v>18</v>
      </c>
      <c r="F89" s="1">
        <v>5.7</v>
      </c>
      <c r="G89" t="str">
        <f t="shared" si="4"/>
        <v>Low</v>
      </c>
      <c r="H89">
        <v>2.5</v>
      </c>
      <c r="I89">
        <v>3.13</v>
      </c>
      <c r="J89" s="1">
        <v>1.9</v>
      </c>
      <c r="K89" t="str">
        <f t="shared" si="5"/>
        <v>1-2 hours</v>
      </c>
      <c r="L89" t="s">
        <v>17</v>
      </c>
      <c r="M89">
        <v>5</v>
      </c>
      <c r="N89">
        <v>10</v>
      </c>
      <c r="O89">
        <v>3</v>
      </c>
      <c r="P89">
        <v>0</v>
      </c>
    </row>
    <row r="90" spans="1:16" x14ac:dyDescent="0.25">
      <c r="A90">
        <v>17</v>
      </c>
      <c r="B90" t="s">
        <v>14</v>
      </c>
      <c r="C90">
        <v>5.6</v>
      </c>
      <c r="D90" t="str">
        <f t="shared" si="3"/>
        <v>Medium</v>
      </c>
      <c r="E90" t="s">
        <v>12</v>
      </c>
      <c r="F90" s="1">
        <v>5.3</v>
      </c>
      <c r="G90" t="str">
        <f t="shared" si="4"/>
        <v>Low</v>
      </c>
      <c r="H90">
        <v>1.7</v>
      </c>
      <c r="I90">
        <v>2.77</v>
      </c>
      <c r="J90" s="1">
        <v>0.9</v>
      </c>
      <c r="K90" t="str">
        <f t="shared" si="5"/>
        <v>0-1 hours</v>
      </c>
      <c r="L90" t="s">
        <v>17</v>
      </c>
      <c r="M90">
        <v>8</v>
      </c>
      <c r="N90">
        <v>4</v>
      </c>
      <c r="O90">
        <v>8</v>
      </c>
      <c r="P90">
        <v>0</v>
      </c>
    </row>
    <row r="91" spans="1:16" x14ac:dyDescent="0.25">
      <c r="A91">
        <v>18</v>
      </c>
      <c r="B91" t="s">
        <v>11</v>
      </c>
      <c r="C91">
        <v>6.2</v>
      </c>
      <c r="D91" t="str">
        <f t="shared" si="3"/>
        <v>Medium</v>
      </c>
      <c r="E91" t="s">
        <v>12</v>
      </c>
      <c r="F91" s="1">
        <v>4.0999999999999996</v>
      </c>
      <c r="G91" t="str">
        <f t="shared" si="4"/>
        <v>Low</v>
      </c>
      <c r="H91">
        <v>2.8</v>
      </c>
      <c r="I91">
        <v>3.41</v>
      </c>
      <c r="J91" s="1">
        <v>1.1000000000000001</v>
      </c>
      <c r="K91" t="str">
        <f t="shared" si="5"/>
        <v>1-2 hours</v>
      </c>
      <c r="L91" t="s">
        <v>17</v>
      </c>
      <c r="M91">
        <v>7</v>
      </c>
      <c r="N91">
        <v>8</v>
      </c>
      <c r="O91">
        <v>1</v>
      </c>
      <c r="P91">
        <v>1</v>
      </c>
    </row>
    <row r="92" spans="1:16" x14ac:dyDescent="0.25">
      <c r="A92">
        <v>17</v>
      </c>
      <c r="B92" t="s">
        <v>14</v>
      </c>
      <c r="C92">
        <v>4.7</v>
      </c>
      <c r="D92" t="str">
        <f t="shared" si="3"/>
        <v>Medium</v>
      </c>
      <c r="E92" t="s">
        <v>12</v>
      </c>
      <c r="F92" s="1">
        <v>4.7</v>
      </c>
      <c r="G92" t="str">
        <f t="shared" si="4"/>
        <v>Low</v>
      </c>
      <c r="H92">
        <v>2.4</v>
      </c>
      <c r="I92">
        <v>3.94</v>
      </c>
      <c r="J92" s="1">
        <v>0</v>
      </c>
      <c r="K92" t="str">
        <f t="shared" si="5"/>
        <v>No activity</v>
      </c>
      <c r="L92" t="s">
        <v>17</v>
      </c>
      <c r="M92">
        <v>10</v>
      </c>
      <c r="N92">
        <v>5</v>
      </c>
      <c r="O92">
        <v>8</v>
      </c>
      <c r="P92">
        <v>0</v>
      </c>
    </row>
    <row r="93" spans="1:16" x14ac:dyDescent="0.25">
      <c r="A93">
        <v>18</v>
      </c>
      <c r="B93" t="s">
        <v>14</v>
      </c>
      <c r="C93">
        <v>4</v>
      </c>
      <c r="D93" t="str">
        <f t="shared" si="3"/>
        <v>Medium</v>
      </c>
      <c r="E93" t="s">
        <v>12</v>
      </c>
      <c r="F93" s="1">
        <v>4.5999999999999996</v>
      </c>
      <c r="G93" t="str">
        <f t="shared" si="4"/>
        <v>Low</v>
      </c>
      <c r="H93">
        <v>2.2000000000000002</v>
      </c>
      <c r="I93">
        <v>3.7</v>
      </c>
      <c r="J93" s="1">
        <v>0.6</v>
      </c>
      <c r="K93" t="str">
        <f t="shared" si="5"/>
        <v>0-1 hours</v>
      </c>
      <c r="L93" t="s">
        <v>17</v>
      </c>
      <c r="M93">
        <v>4</v>
      </c>
      <c r="N93">
        <v>1</v>
      </c>
      <c r="O93">
        <v>4</v>
      </c>
      <c r="P93">
        <v>0</v>
      </c>
    </row>
    <row r="94" spans="1:16" x14ac:dyDescent="0.25">
      <c r="A94">
        <v>18</v>
      </c>
      <c r="B94" t="s">
        <v>11</v>
      </c>
      <c r="C94">
        <v>6.2</v>
      </c>
      <c r="D94" t="str">
        <f t="shared" si="3"/>
        <v>Medium</v>
      </c>
      <c r="E94" t="s">
        <v>15</v>
      </c>
      <c r="F94" s="1">
        <v>8.6</v>
      </c>
      <c r="G94" t="str">
        <f t="shared" si="4"/>
        <v>Normal</v>
      </c>
      <c r="H94">
        <v>1.5</v>
      </c>
      <c r="I94">
        <v>3.22</v>
      </c>
      <c r="J94" s="1">
        <v>1.6</v>
      </c>
      <c r="K94" t="str">
        <f t="shared" si="5"/>
        <v>1-2 hours</v>
      </c>
      <c r="L94" t="s">
        <v>13</v>
      </c>
      <c r="M94">
        <v>4</v>
      </c>
      <c r="N94">
        <v>5</v>
      </c>
      <c r="O94">
        <v>7</v>
      </c>
      <c r="P94">
        <v>0</v>
      </c>
    </row>
    <row r="95" spans="1:16" x14ac:dyDescent="0.25">
      <c r="A95">
        <v>17</v>
      </c>
      <c r="B95" t="s">
        <v>14</v>
      </c>
      <c r="C95">
        <v>5.6</v>
      </c>
      <c r="D95" t="str">
        <f t="shared" si="3"/>
        <v>Medium</v>
      </c>
      <c r="E95" t="s">
        <v>15</v>
      </c>
      <c r="F95" s="1">
        <v>6.8</v>
      </c>
      <c r="G95" t="str">
        <f t="shared" si="4"/>
        <v>Low</v>
      </c>
      <c r="H95">
        <v>2</v>
      </c>
      <c r="I95">
        <v>2.2200000000000002</v>
      </c>
      <c r="J95" s="1">
        <v>1</v>
      </c>
      <c r="K95" t="str">
        <f t="shared" si="5"/>
        <v>0-1 hours</v>
      </c>
      <c r="L95" t="s">
        <v>17</v>
      </c>
      <c r="M95">
        <v>6</v>
      </c>
      <c r="N95">
        <v>9</v>
      </c>
      <c r="O95">
        <v>8</v>
      </c>
      <c r="P95">
        <v>0</v>
      </c>
    </row>
    <row r="96" spans="1:16" x14ac:dyDescent="0.25">
      <c r="A96">
        <v>13</v>
      </c>
      <c r="B96" t="s">
        <v>14</v>
      </c>
      <c r="C96">
        <v>4</v>
      </c>
      <c r="D96" t="str">
        <f t="shared" si="3"/>
        <v>Medium</v>
      </c>
      <c r="E96" t="s">
        <v>12</v>
      </c>
      <c r="F96" s="1">
        <v>4.4000000000000004</v>
      </c>
      <c r="G96" t="str">
        <f t="shared" si="4"/>
        <v>Low</v>
      </c>
      <c r="H96">
        <v>2.5</v>
      </c>
      <c r="I96">
        <v>3.6</v>
      </c>
      <c r="J96" s="1">
        <v>1.4</v>
      </c>
      <c r="K96" t="str">
        <f t="shared" si="5"/>
        <v>1-2 hours</v>
      </c>
      <c r="L96" t="s">
        <v>17</v>
      </c>
      <c r="M96">
        <v>7</v>
      </c>
      <c r="N96">
        <v>2</v>
      </c>
      <c r="O96">
        <v>10</v>
      </c>
      <c r="P96">
        <v>0</v>
      </c>
    </row>
    <row r="97" spans="1:16" x14ac:dyDescent="0.25">
      <c r="A97">
        <v>15</v>
      </c>
      <c r="B97" t="s">
        <v>14</v>
      </c>
      <c r="C97">
        <v>1.8</v>
      </c>
      <c r="D97" t="str">
        <f t="shared" si="3"/>
        <v>Low</v>
      </c>
      <c r="E97" t="s">
        <v>12</v>
      </c>
      <c r="F97" s="1">
        <v>6.4</v>
      </c>
      <c r="G97" t="str">
        <f t="shared" si="4"/>
        <v>Low</v>
      </c>
      <c r="H97">
        <v>2.4</v>
      </c>
      <c r="I97">
        <v>2.16</v>
      </c>
      <c r="J97" s="1">
        <v>1.9</v>
      </c>
      <c r="K97" t="str">
        <f t="shared" si="5"/>
        <v>1-2 hours</v>
      </c>
      <c r="L97" t="s">
        <v>17</v>
      </c>
      <c r="M97">
        <v>3</v>
      </c>
      <c r="N97">
        <v>6</v>
      </c>
      <c r="O97">
        <v>9</v>
      </c>
      <c r="P97">
        <v>0</v>
      </c>
    </row>
    <row r="98" spans="1:16" x14ac:dyDescent="0.25">
      <c r="A98">
        <v>13</v>
      </c>
      <c r="B98" t="s">
        <v>11</v>
      </c>
      <c r="C98">
        <v>3.1</v>
      </c>
      <c r="D98" t="str">
        <f t="shared" si="3"/>
        <v>Medium</v>
      </c>
      <c r="E98" t="s">
        <v>15</v>
      </c>
      <c r="F98" s="1">
        <v>5.4</v>
      </c>
      <c r="G98" t="str">
        <f t="shared" si="4"/>
        <v>Low</v>
      </c>
      <c r="H98">
        <v>1.9</v>
      </c>
      <c r="I98">
        <v>3.66</v>
      </c>
      <c r="J98" s="1">
        <v>0.4</v>
      </c>
      <c r="K98" t="str">
        <f t="shared" si="5"/>
        <v>0-1 hours</v>
      </c>
      <c r="L98" t="s">
        <v>13</v>
      </c>
      <c r="M98">
        <v>7</v>
      </c>
      <c r="N98">
        <v>4</v>
      </c>
      <c r="O98">
        <v>2</v>
      </c>
      <c r="P98">
        <v>0</v>
      </c>
    </row>
    <row r="99" spans="1:16" x14ac:dyDescent="0.25">
      <c r="A99">
        <v>13</v>
      </c>
      <c r="B99" t="s">
        <v>14</v>
      </c>
      <c r="C99">
        <v>3.5</v>
      </c>
      <c r="D99" t="str">
        <f t="shared" si="3"/>
        <v>Medium</v>
      </c>
      <c r="E99" t="s">
        <v>15</v>
      </c>
      <c r="F99" s="1">
        <v>5.2</v>
      </c>
      <c r="G99" t="str">
        <f t="shared" si="4"/>
        <v>Low</v>
      </c>
      <c r="H99">
        <v>2.5</v>
      </c>
      <c r="I99">
        <v>2.57</v>
      </c>
      <c r="J99" s="1">
        <v>1.1000000000000001</v>
      </c>
      <c r="K99" t="str">
        <f t="shared" si="5"/>
        <v>1-2 hours</v>
      </c>
      <c r="L99" t="s">
        <v>16</v>
      </c>
      <c r="M99">
        <v>1</v>
      </c>
      <c r="N99">
        <v>6</v>
      </c>
      <c r="O99">
        <v>3</v>
      </c>
      <c r="P99">
        <v>0</v>
      </c>
    </row>
    <row r="100" spans="1:16" x14ac:dyDescent="0.25">
      <c r="A100">
        <v>18</v>
      </c>
      <c r="B100" t="s">
        <v>11</v>
      </c>
      <c r="C100">
        <v>7.4</v>
      </c>
      <c r="D100" t="str">
        <f t="shared" si="3"/>
        <v>High</v>
      </c>
      <c r="E100" t="s">
        <v>15</v>
      </c>
      <c r="F100" s="1">
        <v>6.4</v>
      </c>
      <c r="G100" t="str">
        <f t="shared" si="4"/>
        <v>Low</v>
      </c>
      <c r="H100">
        <v>2.2000000000000002</v>
      </c>
      <c r="I100">
        <v>3.51</v>
      </c>
      <c r="J100" s="1">
        <v>1</v>
      </c>
      <c r="K100" t="str">
        <f t="shared" si="5"/>
        <v>0-1 hours</v>
      </c>
      <c r="L100" t="s">
        <v>16</v>
      </c>
      <c r="M100">
        <v>4</v>
      </c>
      <c r="N100">
        <v>5</v>
      </c>
      <c r="O100">
        <v>4</v>
      </c>
      <c r="P100">
        <v>0</v>
      </c>
    </row>
    <row r="101" spans="1:16" x14ac:dyDescent="0.25">
      <c r="A101">
        <v>16</v>
      </c>
      <c r="B101" t="s">
        <v>11</v>
      </c>
      <c r="C101">
        <v>8</v>
      </c>
      <c r="D101" t="str">
        <f t="shared" si="3"/>
        <v>High</v>
      </c>
      <c r="E101" t="s">
        <v>12</v>
      </c>
      <c r="F101" s="1">
        <v>5.5</v>
      </c>
      <c r="G101" t="str">
        <f t="shared" si="4"/>
        <v>Low</v>
      </c>
      <c r="H101">
        <v>1.4</v>
      </c>
      <c r="I101">
        <v>2.95</v>
      </c>
      <c r="J101" s="1">
        <v>0.3</v>
      </c>
      <c r="K101" t="str">
        <f t="shared" si="5"/>
        <v>0-1 hours</v>
      </c>
      <c r="L101" t="s">
        <v>17</v>
      </c>
      <c r="M101">
        <v>2</v>
      </c>
      <c r="N101">
        <v>5</v>
      </c>
      <c r="O101">
        <v>2</v>
      </c>
      <c r="P101">
        <v>0</v>
      </c>
    </row>
    <row r="102" spans="1:16" x14ac:dyDescent="0.25">
      <c r="A102">
        <v>13</v>
      </c>
      <c r="B102" t="s">
        <v>11</v>
      </c>
      <c r="C102">
        <v>5.0999999999999996</v>
      </c>
      <c r="D102" t="str">
        <f t="shared" si="3"/>
        <v>Medium</v>
      </c>
      <c r="E102" t="s">
        <v>18</v>
      </c>
      <c r="F102" s="1">
        <v>4.0999999999999996</v>
      </c>
      <c r="G102" t="str">
        <f t="shared" si="4"/>
        <v>Low</v>
      </c>
      <c r="H102">
        <v>1.6</v>
      </c>
      <c r="I102">
        <v>3.32</v>
      </c>
      <c r="J102" s="1">
        <v>0.8</v>
      </c>
      <c r="K102" t="str">
        <f t="shared" si="5"/>
        <v>0-1 hours</v>
      </c>
      <c r="L102" t="s">
        <v>17</v>
      </c>
      <c r="M102">
        <v>1</v>
      </c>
      <c r="N102">
        <v>3</v>
      </c>
      <c r="O102">
        <v>8</v>
      </c>
      <c r="P102">
        <v>0</v>
      </c>
    </row>
    <row r="103" spans="1:16" x14ac:dyDescent="0.25">
      <c r="A103">
        <v>18</v>
      </c>
      <c r="B103" t="s">
        <v>14</v>
      </c>
      <c r="C103">
        <v>2.4</v>
      </c>
      <c r="D103" t="str">
        <f t="shared" si="3"/>
        <v>Medium</v>
      </c>
      <c r="E103" t="s">
        <v>12</v>
      </c>
      <c r="F103" s="1">
        <v>6.3</v>
      </c>
      <c r="G103" t="str">
        <f t="shared" si="4"/>
        <v>Low</v>
      </c>
      <c r="H103">
        <v>1.3</v>
      </c>
      <c r="I103">
        <v>3.05</v>
      </c>
      <c r="J103" s="1">
        <v>1.7</v>
      </c>
      <c r="K103" t="str">
        <f t="shared" si="5"/>
        <v>1-2 hours</v>
      </c>
      <c r="L103" t="s">
        <v>13</v>
      </c>
      <c r="M103">
        <v>2</v>
      </c>
      <c r="N103">
        <v>9</v>
      </c>
      <c r="O103">
        <v>5</v>
      </c>
      <c r="P103">
        <v>0</v>
      </c>
    </row>
    <row r="104" spans="1:16" x14ac:dyDescent="0.25">
      <c r="A104">
        <v>13</v>
      </c>
      <c r="B104" t="s">
        <v>11</v>
      </c>
      <c r="C104">
        <v>1.6</v>
      </c>
      <c r="D104" t="str">
        <f t="shared" si="3"/>
        <v>Low</v>
      </c>
      <c r="E104" t="s">
        <v>12</v>
      </c>
      <c r="F104" s="1">
        <v>4.2</v>
      </c>
      <c r="G104" t="str">
        <f t="shared" si="4"/>
        <v>Low</v>
      </c>
      <c r="H104">
        <v>1.5</v>
      </c>
      <c r="I104">
        <v>3.72</v>
      </c>
      <c r="J104" s="1">
        <v>1.7</v>
      </c>
      <c r="K104" t="str">
        <f t="shared" si="5"/>
        <v>1-2 hours</v>
      </c>
      <c r="L104" t="s">
        <v>17</v>
      </c>
      <c r="M104">
        <v>10</v>
      </c>
      <c r="N104">
        <v>1</v>
      </c>
      <c r="O104">
        <v>10</v>
      </c>
      <c r="P104">
        <v>0</v>
      </c>
    </row>
    <row r="105" spans="1:16" x14ac:dyDescent="0.25">
      <c r="A105">
        <v>18</v>
      </c>
      <c r="B105" t="s">
        <v>11</v>
      </c>
      <c r="C105">
        <v>5.8</v>
      </c>
      <c r="D105" t="str">
        <f t="shared" si="3"/>
        <v>Medium</v>
      </c>
      <c r="E105" t="s">
        <v>12</v>
      </c>
      <c r="F105" s="1">
        <v>6.7</v>
      </c>
      <c r="G105" t="str">
        <f t="shared" si="4"/>
        <v>Low</v>
      </c>
      <c r="H105">
        <v>1.9</v>
      </c>
      <c r="I105">
        <v>3</v>
      </c>
      <c r="J105" s="1">
        <v>1.9</v>
      </c>
      <c r="K105" t="str">
        <f t="shared" si="5"/>
        <v>1-2 hours</v>
      </c>
      <c r="L105" t="s">
        <v>13</v>
      </c>
      <c r="M105">
        <v>5</v>
      </c>
      <c r="N105">
        <v>8</v>
      </c>
      <c r="O105">
        <v>2</v>
      </c>
      <c r="P105">
        <v>0</v>
      </c>
    </row>
    <row r="106" spans="1:16" x14ac:dyDescent="0.25">
      <c r="A106">
        <v>15</v>
      </c>
      <c r="B106" t="s">
        <v>11</v>
      </c>
      <c r="C106">
        <v>2.7</v>
      </c>
      <c r="D106" t="str">
        <f t="shared" si="3"/>
        <v>Medium</v>
      </c>
      <c r="E106" t="s">
        <v>15</v>
      </c>
      <c r="F106" s="1">
        <v>6.6</v>
      </c>
      <c r="G106" t="str">
        <f t="shared" si="4"/>
        <v>Low</v>
      </c>
      <c r="H106">
        <v>1.9</v>
      </c>
      <c r="I106">
        <v>2.75</v>
      </c>
      <c r="J106" s="1">
        <v>1.9</v>
      </c>
      <c r="K106" t="str">
        <f t="shared" si="5"/>
        <v>1-2 hours</v>
      </c>
      <c r="L106" t="s">
        <v>17</v>
      </c>
      <c r="M106">
        <v>3</v>
      </c>
      <c r="N106">
        <v>6</v>
      </c>
      <c r="O106">
        <v>6</v>
      </c>
      <c r="P106">
        <v>0</v>
      </c>
    </row>
    <row r="107" spans="1:16" x14ac:dyDescent="0.25">
      <c r="A107">
        <v>13</v>
      </c>
      <c r="B107" t="s">
        <v>14</v>
      </c>
      <c r="C107">
        <v>4</v>
      </c>
      <c r="D107" t="str">
        <f t="shared" si="3"/>
        <v>Medium</v>
      </c>
      <c r="E107" t="s">
        <v>18</v>
      </c>
      <c r="F107" s="1">
        <v>4.5</v>
      </c>
      <c r="G107" t="str">
        <f t="shared" si="4"/>
        <v>Low</v>
      </c>
      <c r="H107">
        <v>1</v>
      </c>
      <c r="I107">
        <v>3.65</v>
      </c>
      <c r="J107" s="1">
        <v>1.8</v>
      </c>
      <c r="K107" t="str">
        <f t="shared" si="5"/>
        <v>1-2 hours</v>
      </c>
      <c r="L107" t="s">
        <v>13</v>
      </c>
      <c r="M107">
        <v>5</v>
      </c>
      <c r="N107">
        <v>6</v>
      </c>
      <c r="O107">
        <v>5</v>
      </c>
      <c r="P107">
        <v>0</v>
      </c>
    </row>
    <row r="108" spans="1:16" x14ac:dyDescent="0.25">
      <c r="A108">
        <v>18</v>
      </c>
      <c r="B108" t="s">
        <v>11</v>
      </c>
      <c r="C108">
        <v>3.2</v>
      </c>
      <c r="D108" t="str">
        <f t="shared" si="3"/>
        <v>Medium</v>
      </c>
      <c r="E108" t="s">
        <v>18</v>
      </c>
      <c r="F108" s="1">
        <v>8.8000000000000007</v>
      </c>
      <c r="G108" t="str">
        <f t="shared" si="4"/>
        <v>Normal</v>
      </c>
      <c r="H108">
        <v>1.2</v>
      </c>
      <c r="I108">
        <v>3.71</v>
      </c>
      <c r="J108" s="1">
        <v>1.1000000000000001</v>
      </c>
      <c r="K108" t="str">
        <f t="shared" si="5"/>
        <v>1-2 hours</v>
      </c>
      <c r="L108" t="s">
        <v>17</v>
      </c>
      <c r="M108">
        <v>7</v>
      </c>
      <c r="N108">
        <v>6</v>
      </c>
      <c r="O108">
        <v>10</v>
      </c>
      <c r="P108">
        <v>0</v>
      </c>
    </row>
    <row r="109" spans="1:16" x14ac:dyDescent="0.25">
      <c r="A109">
        <v>13</v>
      </c>
      <c r="B109" t="s">
        <v>11</v>
      </c>
      <c r="C109">
        <v>1.6</v>
      </c>
      <c r="D109" t="str">
        <f t="shared" si="3"/>
        <v>Low</v>
      </c>
      <c r="E109" t="s">
        <v>15</v>
      </c>
      <c r="F109" s="1">
        <v>4.3</v>
      </c>
      <c r="G109" t="str">
        <f t="shared" si="4"/>
        <v>Low</v>
      </c>
      <c r="H109">
        <v>0.6</v>
      </c>
      <c r="I109">
        <v>3.91</v>
      </c>
      <c r="J109" s="1">
        <v>2</v>
      </c>
      <c r="K109" t="str">
        <f t="shared" si="5"/>
        <v>1-2 hours</v>
      </c>
      <c r="L109" t="s">
        <v>17</v>
      </c>
      <c r="M109">
        <v>5</v>
      </c>
      <c r="N109">
        <v>10</v>
      </c>
      <c r="O109">
        <v>7</v>
      </c>
      <c r="P109">
        <v>0</v>
      </c>
    </row>
    <row r="110" spans="1:16" x14ac:dyDescent="0.25">
      <c r="A110">
        <v>14</v>
      </c>
      <c r="B110" t="s">
        <v>11</v>
      </c>
      <c r="C110">
        <v>2.2999999999999998</v>
      </c>
      <c r="D110" t="str">
        <f t="shared" si="3"/>
        <v>Medium</v>
      </c>
      <c r="E110" t="s">
        <v>15</v>
      </c>
      <c r="F110" s="1">
        <v>8</v>
      </c>
      <c r="G110" t="str">
        <f t="shared" si="4"/>
        <v>Normal</v>
      </c>
      <c r="H110">
        <v>2.5</v>
      </c>
      <c r="I110">
        <v>3.08</v>
      </c>
      <c r="J110" s="1">
        <v>1.7</v>
      </c>
      <c r="K110" t="str">
        <f t="shared" si="5"/>
        <v>1-2 hours</v>
      </c>
      <c r="L110" t="s">
        <v>17</v>
      </c>
      <c r="M110">
        <v>5</v>
      </c>
      <c r="N110">
        <v>6</v>
      </c>
      <c r="O110">
        <v>7</v>
      </c>
      <c r="P110">
        <v>0</v>
      </c>
    </row>
    <row r="111" spans="1:16" x14ac:dyDescent="0.25">
      <c r="A111">
        <v>17</v>
      </c>
      <c r="B111" t="s">
        <v>11</v>
      </c>
      <c r="C111">
        <v>7.7</v>
      </c>
      <c r="D111" t="str">
        <f t="shared" si="3"/>
        <v>High</v>
      </c>
      <c r="E111" t="s">
        <v>15</v>
      </c>
      <c r="F111" s="1">
        <v>8.5</v>
      </c>
      <c r="G111" t="str">
        <f t="shared" si="4"/>
        <v>Normal</v>
      </c>
      <c r="H111">
        <v>1.2</v>
      </c>
      <c r="I111">
        <v>3.56</v>
      </c>
      <c r="J111" s="1">
        <v>0</v>
      </c>
      <c r="K111" t="str">
        <f t="shared" si="5"/>
        <v>No activity</v>
      </c>
      <c r="L111" t="s">
        <v>17</v>
      </c>
      <c r="M111">
        <v>7</v>
      </c>
      <c r="N111">
        <v>10</v>
      </c>
      <c r="O111">
        <v>7</v>
      </c>
      <c r="P111">
        <v>0</v>
      </c>
    </row>
    <row r="112" spans="1:16" x14ac:dyDescent="0.25">
      <c r="A112">
        <v>16</v>
      </c>
      <c r="B112" t="s">
        <v>11</v>
      </c>
      <c r="C112">
        <v>4.8</v>
      </c>
      <c r="D112" t="str">
        <f t="shared" si="3"/>
        <v>Medium</v>
      </c>
      <c r="E112" t="s">
        <v>18</v>
      </c>
      <c r="F112" s="1">
        <v>7.1</v>
      </c>
      <c r="G112" t="str">
        <f t="shared" si="4"/>
        <v>Low</v>
      </c>
      <c r="H112">
        <v>0.6</v>
      </c>
      <c r="I112">
        <v>3.36</v>
      </c>
      <c r="J112" s="1">
        <v>0.7</v>
      </c>
      <c r="K112" t="str">
        <f t="shared" si="5"/>
        <v>0-1 hours</v>
      </c>
      <c r="L112" t="s">
        <v>16</v>
      </c>
      <c r="M112">
        <v>7</v>
      </c>
      <c r="N112">
        <v>6</v>
      </c>
      <c r="O112">
        <v>9</v>
      </c>
      <c r="P112">
        <v>0</v>
      </c>
    </row>
    <row r="113" spans="1:16" x14ac:dyDescent="0.25">
      <c r="A113">
        <v>17</v>
      </c>
      <c r="B113" t="s">
        <v>14</v>
      </c>
      <c r="C113">
        <v>5.2</v>
      </c>
      <c r="D113" t="str">
        <f t="shared" si="3"/>
        <v>Medium</v>
      </c>
      <c r="E113" t="s">
        <v>18</v>
      </c>
      <c r="F113" s="1">
        <v>6</v>
      </c>
      <c r="G113" t="str">
        <f t="shared" si="4"/>
        <v>Low</v>
      </c>
      <c r="H113">
        <v>0.6</v>
      </c>
      <c r="I113">
        <v>3.07</v>
      </c>
      <c r="J113" s="1">
        <v>0.6</v>
      </c>
      <c r="K113" t="str">
        <f t="shared" si="5"/>
        <v>0-1 hours</v>
      </c>
      <c r="L113" t="s">
        <v>17</v>
      </c>
      <c r="M113">
        <v>6</v>
      </c>
      <c r="N113">
        <v>2</v>
      </c>
      <c r="O113">
        <v>9</v>
      </c>
      <c r="P113">
        <v>0</v>
      </c>
    </row>
    <row r="114" spans="1:16" x14ac:dyDescent="0.25">
      <c r="A114">
        <v>13</v>
      </c>
      <c r="B114" t="s">
        <v>11</v>
      </c>
      <c r="C114">
        <v>5.7</v>
      </c>
      <c r="D114" t="str">
        <f t="shared" si="3"/>
        <v>Medium</v>
      </c>
      <c r="E114" t="s">
        <v>18</v>
      </c>
      <c r="F114" s="1">
        <v>6.6</v>
      </c>
      <c r="G114" t="str">
        <f t="shared" si="4"/>
        <v>Low</v>
      </c>
      <c r="H114">
        <v>2.4</v>
      </c>
      <c r="I114">
        <v>3.99</v>
      </c>
      <c r="J114" s="1">
        <v>1.7</v>
      </c>
      <c r="K114" t="str">
        <f t="shared" si="5"/>
        <v>1-2 hours</v>
      </c>
      <c r="L114" t="s">
        <v>16</v>
      </c>
      <c r="M114">
        <v>1</v>
      </c>
      <c r="N114">
        <v>3</v>
      </c>
      <c r="O114">
        <v>1</v>
      </c>
      <c r="P114">
        <v>0</v>
      </c>
    </row>
    <row r="115" spans="1:16" x14ac:dyDescent="0.25">
      <c r="A115">
        <v>15</v>
      </c>
      <c r="B115" t="s">
        <v>11</v>
      </c>
      <c r="C115">
        <v>4.5999999999999996</v>
      </c>
      <c r="D115" t="str">
        <f t="shared" si="3"/>
        <v>Medium</v>
      </c>
      <c r="E115" t="s">
        <v>15</v>
      </c>
      <c r="F115" s="1">
        <v>5.2</v>
      </c>
      <c r="G115" t="str">
        <f t="shared" si="4"/>
        <v>Low</v>
      </c>
      <c r="H115">
        <v>1.4</v>
      </c>
      <c r="I115">
        <v>2.98</v>
      </c>
      <c r="J115" s="1">
        <v>1.9</v>
      </c>
      <c r="K115" t="str">
        <f t="shared" si="5"/>
        <v>1-2 hours</v>
      </c>
      <c r="L115" t="s">
        <v>13</v>
      </c>
      <c r="M115">
        <v>1</v>
      </c>
      <c r="N115">
        <v>4</v>
      </c>
      <c r="O115">
        <v>5</v>
      </c>
      <c r="P115">
        <v>0</v>
      </c>
    </row>
    <row r="116" spans="1:16" x14ac:dyDescent="0.25">
      <c r="A116">
        <v>13</v>
      </c>
      <c r="B116" t="s">
        <v>11</v>
      </c>
      <c r="C116">
        <v>4.3</v>
      </c>
      <c r="D116" t="str">
        <f t="shared" si="3"/>
        <v>Medium</v>
      </c>
      <c r="E116" t="s">
        <v>15</v>
      </c>
      <c r="F116" s="1">
        <v>7.5</v>
      </c>
      <c r="G116" t="str">
        <f t="shared" si="4"/>
        <v>Low</v>
      </c>
      <c r="H116">
        <v>2.7</v>
      </c>
      <c r="I116">
        <v>2.29</v>
      </c>
      <c r="J116" s="1">
        <v>0.8</v>
      </c>
      <c r="K116" t="str">
        <f t="shared" si="5"/>
        <v>0-1 hours</v>
      </c>
      <c r="L116" t="s">
        <v>16</v>
      </c>
      <c r="M116">
        <v>1</v>
      </c>
      <c r="N116">
        <v>10</v>
      </c>
      <c r="O116">
        <v>1</v>
      </c>
      <c r="P116">
        <v>0</v>
      </c>
    </row>
    <row r="117" spans="1:16" x14ac:dyDescent="0.25">
      <c r="A117">
        <v>17</v>
      </c>
      <c r="B117" t="s">
        <v>14</v>
      </c>
      <c r="C117">
        <v>4.0999999999999996</v>
      </c>
      <c r="D117" t="str">
        <f t="shared" si="3"/>
        <v>Medium</v>
      </c>
      <c r="E117" t="s">
        <v>12</v>
      </c>
      <c r="F117" s="1">
        <v>8.6</v>
      </c>
      <c r="G117" t="str">
        <f t="shared" si="4"/>
        <v>Normal</v>
      </c>
      <c r="H117">
        <v>3</v>
      </c>
      <c r="I117">
        <v>2.77</v>
      </c>
      <c r="J117" s="1">
        <v>0.1</v>
      </c>
      <c r="K117" t="str">
        <f t="shared" si="5"/>
        <v>0-1 hours</v>
      </c>
      <c r="L117" t="s">
        <v>17</v>
      </c>
      <c r="M117">
        <v>3</v>
      </c>
      <c r="N117">
        <v>6</v>
      </c>
      <c r="O117">
        <v>1</v>
      </c>
      <c r="P117">
        <v>0</v>
      </c>
    </row>
    <row r="118" spans="1:16" x14ac:dyDescent="0.25">
      <c r="A118">
        <v>15</v>
      </c>
      <c r="B118" t="s">
        <v>11</v>
      </c>
      <c r="C118">
        <v>6.5</v>
      </c>
      <c r="D118" t="str">
        <f t="shared" si="3"/>
        <v>Medium</v>
      </c>
      <c r="E118" t="s">
        <v>18</v>
      </c>
      <c r="F118" s="1">
        <v>8.1</v>
      </c>
      <c r="G118" t="str">
        <f t="shared" si="4"/>
        <v>Normal</v>
      </c>
      <c r="H118">
        <v>2</v>
      </c>
      <c r="I118">
        <v>3.89</v>
      </c>
      <c r="J118" s="1">
        <v>1.3</v>
      </c>
      <c r="K118" t="str">
        <f t="shared" si="5"/>
        <v>1-2 hours</v>
      </c>
      <c r="L118" t="s">
        <v>16</v>
      </c>
      <c r="M118">
        <v>8</v>
      </c>
      <c r="N118">
        <v>2</v>
      </c>
      <c r="O118">
        <v>2</v>
      </c>
      <c r="P118">
        <v>0</v>
      </c>
    </row>
    <row r="119" spans="1:16" x14ac:dyDescent="0.25">
      <c r="A119">
        <v>19</v>
      </c>
      <c r="B119" t="s">
        <v>14</v>
      </c>
      <c r="C119">
        <v>7.8</v>
      </c>
      <c r="D119" t="str">
        <f t="shared" si="3"/>
        <v>High</v>
      </c>
      <c r="E119" t="s">
        <v>18</v>
      </c>
      <c r="F119" s="1">
        <v>8.8000000000000007</v>
      </c>
      <c r="G119" t="str">
        <f t="shared" si="4"/>
        <v>Normal</v>
      </c>
      <c r="H119">
        <v>2.1</v>
      </c>
      <c r="I119">
        <v>3.75</v>
      </c>
      <c r="J119" s="1">
        <v>1.3</v>
      </c>
      <c r="K119" t="str">
        <f t="shared" si="5"/>
        <v>1-2 hours</v>
      </c>
      <c r="L119" t="s">
        <v>16</v>
      </c>
      <c r="M119">
        <v>10</v>
      </c>
      <c r="N119">
        <v>9</v>
      </c>
      <c r="O119">
        <v>6</v>
      </c>
      <c r="P119">
        <v>0</v>
      </c>
    </row>
    <row r="120" spans="1:16" x14ac:dyDescent="0.25">
      <c r="A120">
        <v>17</v>
      </c>
      <c r="B120" t="s">
        <v>11</v>
      </c>
      <c r="C120">
        <v>6.5</v>
      </c>
      <c r="D120" t="str">
        <f t="shared" si="3"/>
        <v>Medium</v>
      </c>
      <c r="E120" t="s">
        <v>12</v>
      </c>
      <c r="F120" s="1">
        <v>4.0999999999999996</v>
      </c>
      <c r="G120" t="str">
        <f t="shared" si="4"/>
        <v>Low</v>
      </c>
      <c r="H120">
        <v>2.7</v>
      </c>
      <c r="I120">
        <v>3.66</v>
      </c>
      <c r="J120" s="1">
        <v>1.1000000000000001</v>
      </c>
      <c r="K120" t="str">
        <f t="shared" si="5"/>
        <v>1-2 hours</v>
      </c>
      <c r="L120" t="s">
        <v>17</v>
      </c>
      <c r="M120">
        <v>6</v>
      </c>
      <c r="N120">
        <v>10</v>
      </c>
      <c r="O120">
        <v>10</v>
      </c>
      <c r="P120">
        <v>0</v>
      </c>
    </row>
    <row r="121" spans="1:16" x14ac:dyDescent="0.25">
      <c r="A121">
        <v>17</v>
      </c>
      <c r="B121" t="s">
        <v>14</v>
      </c>
      <c r="C121">
        <v>3.2</v>
      </c>
      <c r="D121" t="str">
        <f t="shared" si="3"/>
        <v>Medium</v>
      </c>
      <c r="E121" t="s">
        <v>15</v>
      </c>
      <c r="F121" s="1">
        <v>4.2</v>
      </c>
      <c r="G121" t="str">
        <f t="shared" si="4"/>
        <v>Low</v>
      </c>
      <c r="H121">
        <v>0.6</v>
      </c>
      <c r="I121">
        <v>2.21</v>
      </c>
      <c r="J121" s="1">
        <v>1.4</v>
      </c>
      <c r="K121" t="str">
        <f t="shared" si="5"/>
        <v>1-2 hours</v>
      </c>
      <c r="L121" t="s">
        <v>17</v>
      </c>
      <c r="M121">
        <v>6</v>
      </c>
      <c r="N121">
        <v>6</v>
      </c>
      <c r="O121">
        <v>3</v>
      </c>
      <c r="P121">
        <v>0</v>
      </c>
    </row>
    <row r="122" spans="1:16" x14ac:dyDescent="0.25">
      <c r="A122">
        <v>13</v>
      </c>
      <c r="B122" t="s">
        <v>11</v>
      </c>
      <c r="C122">
        <v>2.4</v>
      </c>
      <c r="D122" t="str">
        <f t="shared" si="3"/>
        <v>Medium</v>
      </c>
      <c r="E122" t="s">
        <v>15</v>
      </c>
      <c r="F122" s="1">
        <v>4.0999999999999996</v>
      </c>
      <c r="G122" t="str">
        <f t="shared" si="4"/>
        <v>Low</v>
      </c>
      <c r="H122">
        <v>0.8</v>
      </c>
      <c r="I122">
        <v>2.79</v>
      </c>
      <c r="J122" s="1">
        <v>1.1000000000000001</v>
      </c>
      <c r="K122" t="str">
        <f t="shared" si="5"/>
        <v>1-2 hours</v>
      </c>
      <c r="L122" t="s">
        <v>17</v>
      </c>
      <c r="M122">
        <v>8</v>
      </c>
      <c r="N122">
        <v>6</v>
      </c>
      <c r="O122">
        <v>3</v>
      </c>
      <c r="P122">
        <v>0</v>
      </c>
    </row>
    <row r="123" spans="1:16" x14ac:dyDescent="0.25">
      <c r="A123">
        <v>15</v>
      </c>
      <c r="B123" t="s">
        <v>14</v>
      </c>
      <c r="C123">
        <v>4</v>
      </c>
      <c r="D123" t="str">
        <f t="shared" si="3"/>
        <v>Medium</v>
      </c>
      <c r="E123" t="s">
        <v>12</v>
      </c>
      <c r="F123" s="1">
        <v>8.1</v>
      </c>
      <c r="G123" t="str">
        <f t="shared" si="4"/>
        <v>Normal</v>
      </c>
      <c r="H123">
        <v>2.1</v>
      </c>
      <c r="I123">
        <v>2.0099999999999998</v>
      </c>
      <c r="J123" s="1">
        <v>0.4</v>
      </c>
      <c r="K123" t="str">
        <f t="shared" si="5"/>
        <v>0-1 hours</v>
      </c>
      <c r="L123" t="s">
        <v>17</v>
      </c>
      <c r="M123">
        <v>4</v>
      </c>
      <c r="N123">
        <v>8</v>
      </c>
      <c r="O123">
        <v>8</v>
      </c>
      <c r="P123">
        <v>0</v>
      </c>
    </row>
    <row r="124" spans="1:16" x14ac:dyDescent="0.25">
      <c r="A124">
        <v>17</v>
      </c>
      <c r="B124" t="s">
        <v>14</v>
      </c>
      <c r="C124">
        <v>6</v>
      </c>
      <c r="D124" t="str">
        <f t="shared" si="3"/>
        <v>Medium</v>
      </c>
      <c r="E124" t="s">
        <v>18</v>
      </c>
      <c r="F124" s="1">
        <v>8.8000000000000007</v>
      </c>
      <c r="G124" t="str">
        <f t="shared" si="4"/>
        <v>Normal</v>
      </c>
      <c r="H124">
        <v>1.3</v>
      </c>
      <c r="I124">
        <v>4</v>
      </c>
      <c r="J124" s="1">
        <v>0.9</v>
      </c>
      <c r="K124" t="str">
        <f t="shared" si="5"/>
        <v>0-1 hours</v>
      </c>
      <c r="L124" t="s">
        <v>17</v>
      </c>
      <c r="M124">
        <v>8</v>
      </c>
      <c r="N124">
        <v>10</v>
      </c>
      <c r="O124">
        <v>7</v>
      </c>
      <c r="P124">
        <v>0</v>
      </c>
    </row>
    <row r="125" spans="1:16" x14ac:dyDescent="0.25">
      <c r="A125">
        <v>18</v>
      </c>
      <c r="B125" t="s">
        <v>11</v>
      </c>
      <c r="C125">
        <v>1.2</v>
      </c>
      <c r="D125" t="str">
        <f t="shared" si="3"/>
        <v>Low</v>
      </c>
      <c r="E125" t="s">
        <v>15</v>
      </c>
      <c r="F125" s="1">
        <v>8</v>
      </c>
      <c r="G125" t="str">
        <f t="shared" si="4"/>
        <v>Normal</v>
      </c>
      <c r="H125">
        <v>1.7</v>
      </c>
      <c r="I125">
        <v>3.12</v>
      </c>
      <c r="J125" s="1">
        <v>0.1</v>
      </c>
      <c r="K125" t="str">
        <f t="shared" si="5"/>
        <v>0-1 hours</v>
      </c>
      <c r="L125" t="s">
        <v>13</v>
      </c>
      <c r="M125">
        <v>6</v>
      </c>
      <c r="N125">
        <v>4</v>
      </c>
      <c r="O125">
        <v>2</v>
      </c>
      <c r="P125">
        <v>0</v>
      </c>
    </row>
    <row r="126" spans="1:16" x14ac:dyDescent="0.25">
      <c r="A126">
        <v>16</v>
      </c>
      <c r="B126" t="s">
        <v>11</v>
      </c>
      <c r="C126">
        <v>5.7</v>
      </c>
      <c r="D126" t="str">
        <f t="shared" si="3"/>
        <v>Medium</v>
      </c>
      <c r="E126" t="s">
        <v>18</v>
      </c>
      <c r="F126" s="1">
        <v>5.8</v>
      </c>
      <c r="G126" t="str">
        <f t="shared" si="4"/>
        <v>Low</v>
      </c>
      <c r="H126">
        <v>2.8</v>
      </c>
      <c r="I126">
        <v>2.17</v>
      </c>
      <c r="J126" s="1">
        <v>0.5</v>
      </c>
      <c r="K126" t="str">
        <f t="shared" si="5"/>
        <v>0-1 hours</v>
      </c>
      <c r="L126" t="s">
        <v>17</v>
      </c>
      <c r="M126">
        <v>3</v>
      </c>
      <c r="N126">
        <v>9</v>
      </c>
      <c r="O126">
        <v>2</v>
      </c>
      <c r="P126">
        <v>0</v>
      </c>
    </row>
    <row r="127" spans="1:16" x14ac:dyDescent="0.25">
      <c r="A127">
        <v>19</v>
      </c>
      <c r="B127" t="s">
        <v>11</v>
      </c>
      <c r="C127">
        <v>6.5</v>
      </c>
      <c r="D127" t="str">
        <f t="shared" si="3"/>
        <v>Medium</v>
      </c>
      <c r="E127" t="s">
        <v>18</v>
      </c>
      <c r="F127" s="1">
        <v>8.1</v>
      </c>
      <c r="G127" t="str">
        <f t="shared" si="4"/>
        <v>Normal</v>
      </c>
      <c r="H127">
        <v>2.2999999999999998</v>
      </c>
      <c r="I127">
        <v>2.21</v>
      </c>
      <c r="J127" s="1">
        <v>0.4</v>
      </c>
      <c r="K127" t="str">
        <f t="shared" si="5"/>
        <v>0-1 hours</v>
      </c>
      <c r="L127" t="s">
        <v>16</v>
      </c>
      <c r="M127">
        <v>8</v>
      </c>
      <c r="N127">
        <v>8</v>
      </c>
      <c r="O127">
        <v>6</v>
      </c>
      <c r="P127">
        <v>0</v>
      </c>
    </row>
    <row r="128" spans="1:16" x14ac:dyDescent="0.25">
      <c r="A128">
        <v>16</v>
      </c>
      <c r="B128" t="s">
        <v>11</v>
      </c>
      <c r="C128">
        <v>6.6</v>
      </c>
      <c r="D128" t="str">
        <f t="shared" si="3"/>
        <v>Medium</v>
      </c>
      <c r="E128" t="s">
        <v>12</v>
      </c>
      <c r="F128" s="1">
        <v>5.6</v>
      </c>
      <c r="G128" t="str">
        <f t="shared" si="4"/>
        <v>Low</v>
      </c>
      <c r="H128">
        <v>0.8</v>
      </c>
      <c r="I128">
        <v>3.48</v>
      </c>
      <c r="J128" s="1">
        <v>1.7</v>
      </c>
      <c r="K128" t="str">
        <f t="shared" si="5"/>
        <v>1-2 hours</v>
      </c>
      <c r="L128" t="s">
        <v>17</v>
      </c>
      <c r="M128">
        <v>4</v>
      </c>
      <c r="N128">
        <v>3</v>
      </c>
      <c r="O128">
        <v>4</v>
      </c>
      <c r="P128">
        <v>0</v>
      </c>
    </row>
    <row r="129" spans="1:16" x14ac:dyDescent="0.25">
      <c r="A129">
        <v>13</v>
      </c>
      <c r="B129" t="s">
        <v>11</v>
      </c>
      <c r="C129">
        <v>6</v>
      </c>
      <c r="D129" t="str">
        <f t="shared" si="3"/>
        <v>Medium</v>
      </c>
      <c r="E129" t="s">
        <v>15</v>
      </c>
      <c r="F129" s="1">
        <v>7.2</v>
      </c>
      <c r="G129" t="str">
        <f t="shared" si="4"/>
        <v>Low</v>
      </c>
      <c r="H129">
        <v>1.5</v>
      </c>
      <c r="I129">
        <v>2.36</v>
      </c>
      <c r="J129" s="1">
        <v>0.2</v>
      </c>
      <c r="K129" t="str">
        <f t="shared" si="5"/>
        <v>0-1 hours</v>
      </c>
      <c r="L129" t="s">
        <v>13</v>
      </c>
      <c r="M129">
        <v>1</v>
      </c>
      <c r="N129">
        <v>3</v>
      </c>
      <c r="O129">
        <v>4</v>
      </c>
      <c r="P129">
        <v>0</v>
      </c>
    </row>
    <row r="130" spans="1:16" x14ac:dyDescent="0.25">
      <c r="A130">
        <v>18</v>
      </c>
      <c r="B130" t="s">
        <v>14</v>
      </c>
      <c r="C130">
        <v>1.1000000000000001</v>
      </c>
      <c r="D130" t="str">
        <f t="shared" ref="D130:D193" si="6">IF(C130&lt;2,"Low",IF(C130&lt;7,"Medium","High"))</f>
        <v>Low</v>
      </c>
      <c r="E130" t="s">
        <v>18</v>
      </c>
      <c r="F130" s="1">
        <v>8</v>
      </c>
      <c r="G130" t="str">
        <f t="shared" ref="G130:G193" si="7">IF(F130&gt;=8,"Normal","Low")</f>
        <v>Normal</v>
      </c>
      <c r="H130">
        <v>2.7</v>
      </c>
      <c r="I130">
        <v>2.04</v>
      </c>
      <c r="J130" s="1">
        <v>0.1</v>
      </c>
      <c r="K130" t="str">
        <f t="shared" ref="K130:K193" si="8">IF(J130=0,"No activity",IF(J130&lt;=1,"0-1 hours","1-2 hours"))</f>
        <v>0-1 hours</v>
      </c>
      <c r="L130" t="s">
        <v>13</v>
      </c>
      <c r="M130">
        <v>7</v>
      </c>
      <c r="N130">
        <v>10</v>
      </c>
      <c r="O130">
        <v>2</v>
      </c>
      <c r="P130">
        <v>0</v>
      </c>
    </row>
    <row r="131" spans="1:16" x14ac:dyDescent="0.25">
      <c r="A131">
        <v>13</v>
      </c>
      <c r="B131" t="s">
        <v>14</v>
      </c>
      <c r="C131">
        <v>3.8</v>
      </c>
      <c r="D131" t="str">
        <f t="shared" si="6"/>
        <v>Medium</v>
      </c>
      <c r="E131" t="s">
        <v>12</v>
      </c>
      <c r="F131" s="1">
        <v>7.9</v>
      </c>
      <c r="G131" t="str">
        <f t="shared" si="7"/>
        <v>Low</v>
      </c>
      <c r="H131">
        <v>1.3</v>
      </c>
      <c r="I131">
        <v>3.97</v>
      </c>
      <c r="J131" s="1">
        <v>0.2</v>
      </c>
      <c r="K131" t="str">
        <f t="shared" si="8"/>
        <v>0-1 hours</v>
      </c>
      <c r="L131" t="s">
        <v>17</v>
      </c>
      <c r="M131">
        <v>7</v>
      </c>
      <c r="N131">
        <v>10</v>
      </c>
      <c r="O131">
        <v>9</v>
      </c>
      <c r="P131">
        <v>0</v>
      </c>
    </row>
    <row r="132" spans="1:16" x14ac:dyDescent="0.25">
      <c r="A132">
        <v>13</v>
      </c>
      <c r="B132" t="s">
        <v>14</v>
      </c>
      <c r="C132">
        <v>4.7</v>
      </c>
      <c r="D132" t="str">
        <f t="shared" si="6"/>
        <v>Medium</v>
      </c>
      <c r="E132" t="s">
        <v>18</v>
      </c>
      <c r="F132" s="1">
        <v>6.8</v>
      </c>
      <c r="G132" t="str">
        <f t="shared" si="7"/>
        <v>Low</v>
      </c>
      <c r="H132">
        <v>1.7</v>
      </c>
      <c r="I132">
        <v>3.27</v>
      </c>
      <c r="J132" s="1">
        <v>1.4</v>
      </c>
      <c r="K132" t="str">
        <f t="shared" si="8"/>
        <v>1-2 hours</v>
      </c>
      <c r="L132" t="s">
        <v>13</v>
      </c>
      <c r="M132">
        <v>4</v>
      </c>
      <c r="N132">
        <v>2</v>
      </c>
      <c r="O132">
        <v>4</v>
      </c>
      <c r="P132">
        <v>0</v>
      </c>
    </row>
    <row r="133" spans="1:16" x14ac:dyDescent="0.25">
      <c r="A133">
        <v>15</v>
      </c>
      <c r="B133" t="s">
        <v>11</v>
      </c>
      <c r="C133">
        <v>7.4</v>
      </c>
      <c r="D133" t="str">
        <f t="shared" si="6"/>
        <v>High</v>
      </c>
      <c r="E133" t="s">
        <v>15</v>
      </c>
      <c r="F133" s="1">
        <v>6.3</v>
      </c>
      <c r="G133" t="str">
        <f t="shared" si="7"/>
        <v>Low</v>
      </c>
      <c r="H133">
        <v>1.3</v>
      </c>
      <c r="I133">
        <v>3.47</v>
      </c>
      <c r="J133" s="1">
        <v>1.2</v>
      </c>
      <c r="K133" t="str">
        <f t="shared" si="8"/>
        <v>1-2 hours</v>
      </c>
      <c r="L133" t="s">
        <v>17</v>
      </c>
      <c r="M133">
        <v>1</v>
      </c>
      <c r="N133">
        <v>3</v>
      </c>
      <c r="O133">
        <v>9</v>
      </c>
      <c r="P133">
        <v>0</v>
      </c>
    </row>
    <row r="134" spans="1:16" x14ac:dyDescent="0.25">
      <c r="A134">
        <v>17</v>
      </c>
      <c r="B134" t="s">
        <v>11</v>
      </c>
      <c r="C134">
        <v>3.9</v>
      </c>
      <c r="D134" t="str">
        <f t="shared" si="6"/>
        <v>Medium</v>
      </c>
      <c r="E134" t="s">
        <v>12</v>
      </c>
      <c r="F134" s="1">
        <v>7.1</v>
      </c>
      <c r="G134" t="str">
        <f t="shared" si="7"/>
        <v>Low</v>
      </c>
      <c r="H134">
        <v>2.4</v>
      </c>
      <c r="I134">
        <v>3.82</v>
      </c>
      <c r="J134" s="1">
        <v>0.8</v>
      </c>
      <c r="K134" t="str">
        <f t="shared" si="8"/>
        <v>0-1 hours</v>
      </c>
      <c r="L134" t="s">
        <v>16</v>
      </c>
      <c r="M134">
        <v>3</v>
      </c>
      <c r="N134">
        <v>6</v>
      </c>
      <c r="O134">
        <v>10</v>
      </c>
      <c r="P134">
        <v>0</v>
      </c>
    </row>
    <row r="135" spans="1:16" x14ac:dyDescent="0.25">
      <c r="A135">
        <v>18</v>
      </c>
      <c r="B135" t="s">
        <v>11</v>
      </c>
      <c r="C135">
        <v>3.1</v>
      </c>
      <c r="D135" t="str">
        <f t="shared" si="6"/>
        <v>Medium</v>
      </c>
      <c r="E135" t="s">
        <v>12</v>
      </c>
      <c r="F135" s="1">
        <v>5.7</v>
      </c>
      <c r="G135" t="str">
        <f t="shared" si="7"/>
        <v>Low</v>
      </c>
      <c r="H135">
        <v>2.9</v>
      </c>
      <c r="I135">
        <v>3.1</v>
      </c>
      <c r="J135" s="1">
        <v>0.6</v>
      </c>
      <c r="K135" t="str">
        <f t="shared" si="8"/>
        <v>0-1 hours</v>
      </c>
      <c r="L135" t="s">
        <v>17</v>
      </c>
      <c r="M135">
        <v>9</v>
      </c>
      <c r="N135">
        <v>4</v>
      </c>
      <c r="O135">
        <v>2</v>
      </c>
      <c r="P135">
        <v>0</v>
      </c>
    </row>
    <row r="136" spans="1:16" x14ac:dyDescent="0.25">
      <c r="A136">
        <v>16</v>
      </c>
      <c r="B136" t="s">
        <v>14</v>
      </c>
      <c r="C136">
        <v>2.6</v>
      </c>
      <c r="D136" t="str">
        <f t="shared" si="6"/>
        <v>Medium</v>
      </c>
      <c r="E136" t="s">
        <v>15</v>
      </c>
      <c r="F136" s="1">
        <v>8.8000000000000007</v>
      </c>
      <c r="G136" t="str">
        <f t="shared" si="7"/>
        <v>Normal</v>
      </c>
      <c r="H136">
        <v>1.7</v>
      </c>
      <c r="I136">
        <v>2.39</v>
      </c>
      <c r="J136" s="1">
        <v>1</v>
      </c>
      <c r="K136" t="str">
        <f t="shared" si="8"/>
        <v>0-1 hours</v>
      </c>
      <c r="L136" t="s">
        <v>17</v>
      </c>
      <c r="M136">
        <v>5</v>
      </c>
      <c r="N136">
        <v>2</v>
      </c>
      <c r="O136">
        <v>6</v>
      </c>
      <c r="P136">
        <v>0</v>
      </c>
    </row>
    <row r="137" spans="1:16" x14ac:dyDescent="0.25">
      <c r="A137">
        <v>13</v>
      </c>
      <c r="B137" t="s">
        <v>11</v>
      </c>
      <c r="C137">
        <v>5</v>
      </c>
      <c r="D137" t="str">
        <f t="shared" si="6"/>
        <v>Medium</v>
      </c>
      <c r="E137" t="s">
        <v>15</v>
      </c>
      <c r="F137" s="1">
        <v>6.9</v>
      </c>
      <c r="G137" t="str">
        <f t="shared" si="7"/>
        <v>Low</v>
      </c>
      <c r="H137">
        <v>0.6</v>
      </c>
      <c r="I137">
        <v>3.03</v>
      </c>
      <c r="J137" s="1">
        <v>0.8</v>
      </c>
      <c r="K137" t="str">
        <f t="shared" si="8"/>
        <v>0-1 hours</v>
      </c>
      <c r="L137" t="s">
        <v>13</v>
      </c>
      <c r="M137">
        <v>9</v>
      </c>
      <c r="N137">
        <v>3</v>
      </c>
      <c r="O137">
        <v>8</v>
      </c>
      <c r="P137">
        <v>0</v>
      </c>
    </row>
    <row r="138" spans="1:16" x14ac:dyDescent="0.25">
      <c r="A138">
        <v>18</v>
      </c>
      <c r="B138" t="s">
        <v>11</v>
      </c>
      <c r="C138">
        <v>4.5</v>
      </c>
      <c r="D138" t="str">
        <f t="shared" si="6"/>
        <v>Medium</v>
      </c>
      <c r="E138" t="s">
        <v>12</v>
      </c>
      <c r="F138" s="1">
        <v>8.1</v>
      </c>
      <c r="G138" t="str">
        <f t="shared" si="7"/>
        <v>Normal</v>
      </c>
      <c r="H138">
        <v>1.6</v>
      </c>
      <c r="I138">
        <v>3.72</v>
      </c>
      <c r="J138" s="1">
        <v>1.2</v>
      </c>
      <c r="K138" t="str">
        <f t="shared" si="8"/>
        <v>1-2 hours</v>
      </c>
      <c r="L138" t="s">
        <v>13</v>
      </c>
      <c r="M138">
        <v>1</v>
      </c>
      <c r="N138">
        <v>2</v>
      </c>
      <c r="O138">
        <v>1</v>
      </c>
      <c r="P138">
        <v>0</v>
      </c>
    </row>
    <row r="139" spans="1:16" x14ac:dyDescent="0.25">
      <c r="A139">
        <v>17</v>
      </c>
      <c r="B139" t="s">
        <v>11</v>
      </c>
      <c r="C139">
        <v>2.1</v>
      </c>
      <c r="D139" t="str">
        <f t="shared" si="6"/>
        <v>Medium</v>
      </c>
      <c r="E139" t="s">
        <v>15</v>
      </c>
      <c r="F139" s="1">
        <v>4.7</v>
      </c>
      <c r="G139" t="str">
        <f t="shared" si="7"/>
        <v>Low</v>
      </c>
      <c r="H139">
        <v>2</v>
      </c>
      <c r="I139">
        <v>2.99</v>
      </c>
      <c r="J139" s="1">
        <v>1.9</v>
      </c>
      <c r="K139" t="str">
        <f t="shared" si="8"/>
        <v>1-2 hours</v>
      </c>
      <c r="L139" t="s">
        <v>13</v>
      </c>
      <c r="M139">
        <v>5</v>
      </c>
      <c r="N139">
        <v>1</v>
      </c>
      <c r="O139">
        <v>8</v>
      </c>
      <c r="P139">
        <v>0</v>
      </c>
    </row>
    <row r="140" spans="1:16" x14ac:dyDescent="0.25">
      <c r="A140">
        <v>14</v>
      </c>
      <c r="B140" t="s">
        <v>14</v>
      </c>
      <c r="C140">
        <v>6.4</v>
      </c>
      <c r="D140" t="str">
        <f t="shared" si="6"/>
        <v>Medium</v>
      </c>
      <c r="E140" t="s">
        <v>12</v>
      </c>
      <c r="F140" s="1">
        <v>6</v>
      </c>
      <c r="G140" t="str">
        <f t="shared" si="7"/>
        <v>Low</v>
      </c>
      <c r="H140">
        <v>1.1000000000000001</v>
      </c>
      <c r="I140">
        <v>3.81</v>
      </c>
      <c r="J140" s="1">
        <v>0.9</v>
      </c>
      <c r="K140" t="str">
        <f t="shared" si="8"/>
        <v>0-1 hours</v>
      </c>
      <c r="L140" t="s">
        <v>17</v>
      </c>
      <c r="M140">
        <v>8</v>
      </c>
      <c r="N140">
        <v>2</v>
      </c>
      <c r="O140">
        <v>3</v>
      </c>
      <c r="P140">
        <v>0</v>
      </c>
    </row>
    <row r="141" spans="1:16" x14ac:dyDescent="0.25">
      <c r="A141">
        <v>15</v>
      </c>
      <c r="B141" t="s">
        <v>14</v>
      </c>
      <c r="C141">
        <v>2.2999999999999998</v>
      </c>
      <c r="D141" t="str">
        <f t="shared" si="6"/>
        <v>Medium</v>
      </c>
      <c r="E141" t="s">
        <v>15</v>
      </c>
      <c r="F141" s="1">
        <v>6.5</v>
      </c>
      <c r="G141" t="str">
        <f t="shared" si="7"/>
        <v>Low</v>
      </c>
      <c r="H141">
        <v>2.6</v>
      </c>
      <c r="I141">
        <v>3.18</v>
      </c>
      <c r="J141" s="1">
        <v>0.1</v>
      </c>
      <c r="K141" t="str">
        <f t="shared" si="8"/>
        <v>0-1 hours</v>
      </c>
      <c r="L141" t="s">
        <v>13</v>
      </c>
      <c r="M141">
        <v>1</v>
      </c>
      <c r="N141">
        <v>8</v>
      </c>
      <c r="O141">
        <v>4</v>
      </c>
      <c r="P141">
        <v>0</v>
      </c>
    </row>
    <row r="142" spans="1:16" x14ac:dyDescent="0.25">
      <c r="A142">
        <v>13</v>
      </c>
      <c r="B142" t="s">
        <v>14</v>
      </c>
      <c r="C142">
        <v>4.4000000000000004</v>
      </c>
      <c r="D142" t="str">
        <f t="shared" si="6"/>
        <v>Medium</v>
      </c>
      <c r="E142" t="s">
        <v>15</v>
      </c>
      <c r="F142" s="1">
        <v>8.8000000000000007</v>
      </c>
      <c r="G142" t="str">
        <f t="shared" si="7"/>
        <v>Normal</v>
      </c>
      <c r="H142">
        <v>1.3</v>
      </c>
      <c r="I142">
        <v>2.69</v>
      </c>
      <c r="J142" s="1">
        <v>0.4</v>
      </c>
      <c r="K142" t="str">
        <f t="shared" si="8"/>
        <v>0-1 hours</v>
      </c>
      <c r="L142" t="s">
        <v>13</v>
      </c>
      <c r="M142">
        <v>3</v>
      </c>
      <c r="N142">
        <v>1</v>
      </c>
      <c r="O142">
        <v>7</v>
      </c>
      <c r="P142">
        <v>0</v>
      </c>
    </row>
    <row r="143" spans="1:16" x14ac:dyDescent="0.25">
      <c r="A143">
        <v>19</v>
      </c>
      <c r="B143" t="s">
        <v>11</v>
      </c>
      <c r="C143">
        <v>2.2999999999999998</v>
      </c>
      <c r="D143" t="str">
        <f t="shared" si="6"/>
        <v>Medium</v>
      </c>
      <c r="E143" t="s">
        <v>12</v>
      </c>
      <c r="F143" s="1">
        <v>6.9</v>
      </c>
      <c r="G143" t="str">
        <f t="shared" si="7"/>
        <v>Low</v>
      </c>
      <c r="H143">
        <v>2.2999999999999998</v>
      </c>
      <c r="I143">
        <v>2.17</v>
      </c>
      <c r="J143" s="1">
        <v>1.6</v>
      </c>
      <c r="K143" t="str">
        <f t="shared" si="8"/>
        <v>1-2 hours</v>
      </c>
      <c r="L143" t="s">
        <v>17</v>
      </c>
      <c r="M143">
        <v>3</v>
      </c>
      <c r="N143">
        <v>6</v>
      </c>
      <c r="O143">
        <v>10</v>
      </c>
      <c r="P143">
        <v>0</v>
      </c>
    </row>
    <row r="144" spans="1:16" x14ac:dyDescent="0.25">
      <c r="A144">
        <v>13</v>
      </c>
      <c r="B144" t="s">
        <v>11</v>
      </c>
      <c r="C144">
        <v>4.3</v>
      </c>
      <c r="D144" t="str">
        <f t="shared" si="6"/>
        <v>Medium</v>
      </c>
      <c r="E144" t="s">
        <v>12</v>
      </c>
      <c r="F144" s="1">
        <v>4.4000000000000004</v>
      </c>
      <c r="G144" t="str">
        <f t="shared" si="7"/>
        <v>Low</v>
      </c>
      <c r="H144">
        <v>0.7</v>
      </c>
      <c r="I144">
        <v>3.19</v>
      </c>
      <c r="J144" s="1">
        <v>0.3</v>
      </c>
      <c r="K144" t="str">
        <f t="shared" si="8"/>
        <v>0-1 hours</v>
      </c>
      <c r="L144" t="s">
        <v>13</v>
      </c>
      <c r="M144">
        <v>6</v>
      </c>
      <c r="N144">
        <v>2</v>
      </c>
      <c r="O144">
        <v>6</v>
      </c>
      <c r="P144">
        <v>0</v>
      </c>
    </row>
    <row r="145" spans="1:16" x14ac:dyDescent="0.25">
      <c r="A145">
        <v>18</v>
      </c>
      <c r="B145" t="s">
        <v>14</v>
      </c>
      <c r="C145">
        <v>3.9</v>
      </c>
      <c r="D145" t="str">
        <f t="shared" si="6"/>
        <v>Medium</v>
      </c>
      <c r="E145" t="s">
        <v>15</v>
      </c>
      <c r="F145" s="1">
        <v>5.2</v>
      </c>
      <c r="G145" t="str">
        <f t="shared" si="7"/>
        <v>Low</v>
      </c>
      <c r="H145">
        <v>1.8</v>
      </c>
      <c r="I145">
        <v>2.41</v>
      </c>
      <c r="J145" s="1">
        <v>0.6</v>
      </c>
      <c r="K145" t="str">
        <f t="shared" si="8"/>
        <v>0-1 hours</v>
      </c>
      <c r="L145" t="s">
        <v>16</v>
      </c>
      <c r="M145">
        <v>9</v>
      </c>
      <c r="N145">
        <v>5</v>
      </c>
      <c r="O145">
        <v>5</v>
      </c>
      <c r="P145">
        <v>0</v>
      </c>
    </row>
    <row r="146" spans="1:16" x14ac:dyDescent="0.25">
      <c r="A146">
        <v>18</v>
      </c>
      <c r="B146" t="s">
        <v>11</v>
      </c>
      <c r="C146">
        <v>2.9</v>
      </c>
      <c r="D146" t="str">
        <f t="shared" si="6"/>
        <v>Medium</v>
      </c>
      <c r="E146" t="s">
        <v>15</v>
      </c>
      <c r="F146" s="1">
        <v>7.5</v>
      </c>
      <c r="G146" t="str">
        <f t="shared" si="7"/>
        <v>Low</v>
      </c>
      <c r="H146">
        <v>0.9</v>
      </c>
      <c r="I146">
        <v>2.62</v>
      </c>
      <c r="J146" s="1">
        <v>2</v>
      </c>
      <c r="K146" t="str">
        <f t="shared" si="8"/>
        <v>1-2 hours</v>
      </c>
      <c r="L146" t="s">
        <v>16</v>
      </c>
      <c r="M146">
        <v>3</v>
      </c>
      <c r="N146">
        <v>1</v>
      </c>
      <c r="O146">
        <v>9</v>
      </c>
      <c r="P146">
        <v>0</v>
      </c>
    </row>
    <row r="147" spans="1:16" x14ac:dyDescent="0.25">
      <c r="A147">
        <v>14</v>
      </c>
      <c r="B147" t="s">
        <v>11</v>
      </c>
      <c r="C147">
        <v>2.1</v>
      </c>
      <c r="D147" t="str">
        <f t="shared" si="6"/>
        <v>Medium</v>
      </c>
      <c r="E147" t="s">
        <v>12</v>
      </c>
      <c r="F147" s="1">
        <v>8.5</v>
      </c>
      <c r="G147" t="str">
        <f t="shared" si="7"/>
        <v>Normal</v>
      </c>
      <c r="H147">
        <v>1.1000000000000001</v>
      </c>
      <c r="I147">
        <v>3.03</v>
      </c>
      <c r="J147" s="1">
        <v>1.6</v>
      </c>
      <c r="K147" t="str">
        <f t="shared" si="8"/>
        <v>1-2 hours</v>
      </c>
      <c r="L147" t="s">
        <v>17</v>
      </c>
      <c r="M147">
        <v>5</v>
      </c>
      <c r="N147">
        <v>6</v>
      </c>
      <c r="O147">
        <v>7</v>
      </c>
      <c r="P147">
        <v>0</v>
      </c>
    </row>
    <row r="148" spans="1:16" x14ac:dyDescent="0.25">
      <c r="A148">
        <v>14</v>
      </c>
      <c r="B148" t="s">
        <v>11</v>
      </c>
      <c r="C148">
        <v>2.1</v>
      </c>
      <c r="D148" t="str">
        <f t="shared" si="6"/>
        <v>Medium</v>
      </c>
      <c r="E148" t="s">
        <v>15</v>
      </c>
      <c r="F148" s="1">
        <v>5</v>
      </c>
      <c r="G148" t="str">
        <f t="shared" si="7"/>
        <v>Low</v>
      </c>
      <c r="H148">
        <v>1.4</v>
      </c>
      <c r="I148">
        <v>2.96</v>
      </c>
      <c r="J148" s="1">
        <v>1.1000000000000001</v>
      </c>
      <c r="K148" t="str">
        <f t="shared" si="8"/>
        <v>1-2 hours</v>
      </c>
      <c r="L148" t="s">
        <v>13</v>
      </c>
      <c r="M148">
        <v>7</v>
      </c>
      <c r="N148">
        <v>1</v>
      </c>
      <c r="O148">
        <v>9</v>
      </c>
      <c r="P148">
        <v>0</v>
      </c>
    </row>
    <row r="149" spans="1:16" x14ac:dyDescent="0.25">
      <c r="A149">
        <v>16</v>
      </c>
      <c r="B149" t="s">
        <v>11</v>
      </c>
      <c r="C149">
        <v>3.8</v>
      </c>
      <c r="D149" t="str">
        <f t="shared" si="6"/>
        <v>Medium</v>
      </c>
      <c r="E149" t="s">
        <v>15</v>
      </c>
      <c r="F149" s="1">
        <v>5.7</v>
      </c>
      <c r="G149" t="str">
        <f t="shared" si="7"/>
        <v>Low</v>
      </c>
      <c r="H149">
        <v>1.3</v>
      </c>
      <c r="I149">
        <v>3.84</v>
      </c>
      <c r="J149" s="1">
        <v>1.6</v>
      </c>
      <c r="K149" t="str">
        <f t="shared" si="8"/>
        <v>1-2 hours</v>
      </c>
      <c r="L149" t="s">
        <v>17</v>
      </c>
      <c r="M149">
        <v>3</v>
      </c>
      <c r="N149">
        <v>4</v>
      </c>
      <c r="O149">
        <v>10</v>
      </c>
      <c r="P149">
        <v>0</v>
      </c>
    </row>
    <row r="150" spans="1:16" x14ac:dyDescent="0.25">
      <c r="A150">
        <v>15</v>
      </c>
      <c r="B150" t="s">
        <v>14</v>
      </c>
      <c r="C150">
        <v>1.1000000000000001</v>
      </c>
      <c r="D150" t="str">
        <f t="shared" si="6"/>
        <v>Low</v>
      </c>
      <c r="E150" t="s">
        <v>15</v>
      </c>
      <c r="F150" s="1">
        <v>8.1999999999999993</v>
      </c>
      <c r="G150" t="str">
        <f t="shared" si="7"/>
        <v>Normal</v>
      </c>
      <c r="H150">
        <v>0.7</v>
      </c>
      <c r="I150">
        <v>2.94</v>
      </c>
      <c r="J150" s="1">
        <v>0.7</v>
      </c>
      <c r="K150" t="str">
        <f t="shared" si="8"/>
        <v>0-1 hours</v>
      </c>
      <c r="L150" t="s">
        <v>16</v>
      </c>
      <c r="M150">
        <v>10</v>
      </c>
      <c r="N150">
        <v>7</v>
      </c>
      <c r="O150">
        <v>9</v>
      </c>
      <c r="P150">
        <v>0</v>
      </c>
    </row>
    <row r="151" spans="1:16" x14ac:dyDescent="0.25">
      <c r="A151">
        <v>14</v>
      </c>
      <c r="B151" t="s">
        <v>11</v>
      </c>
      <c r="C151">
        <v>2.5</v>
      </c>
      <c r="D151" t="str">
        <f t="shared" si="6"/>
        <v>Medium</v>
      </c>
      <c r="E151" t="s">
        <v>18</v>
      </c>
      <c r="F151" s="1">
        <v>5.3</v>
      </c>
      <c r="G151" t="str">
        <f t="shared" si="7"/>
        <v>Low</v>
      </c>
      <c r="H151">
        <v>2.4</v>
      </c>
      <c r="I151">
        <v>3.87</v>
      </c>
      <c r="J151" s="1">
        <v>1.3</v>
      </c>
      <c r="K151" t="str">
        <f t="shared" si="8"/>
        <v>1-2 hours</v>
      </c>
      <c r="L151" t="s">
        <v>16</v>
      </c>
      <c r="M151">
        <v>10</v>
      </c>
      <c r="N151">
        <v>9</v>
      </c>
      <c r="O151">
        <v>6</v>
      </c>
      <c r="P151">
        <v>0</v>
      </c>
    </row>
    <row r="152" spans="1:16" x14ac:dyDescent="0.25">
      <c r="A152">
        <v>19</v>
      </c>
      <c r="B152" t="s">
        <v>14</v>
      </c>
      <c r="C152">
        <v>4.0999999999999996</v>
      </c>
      <c r="D152" t="str">
        <f t="shared" si="6"/>
        <v>Medium</v>
      </c>
      <c r="E152" t="s">
        <v>12</v>
      </c>
      <c r="F152" s="1">
        <v>6.4</v>
      </c>
      <c r="G152" t="str">
        <f t="shared" si="7"/>
        <v>Low</v>
      </c>
      <c r="H152">
        <v>0.9</v>
      </c>
      <c r="I152">
        <v>2.4700000000000002</v>
      </c>
      <c r="J152" s="1">
        <v>1.2</v>
      </c>
      <c r="K152" t="str">
        <f t="shared" si="8"/>
        <v>1-2 hours</v>
      </c>
      <c r="L152" t="s">
        <v>16</v>
      </c>
      <c r="M152">
        <v>7</v>
      </c>
      <c r="N152">
        <v>3</v>
      </c>
      <c r="O152">
        <v>4</v>
      </c>
      <c r="P152">
        <v>0</v>
      </c>
    </row>
    <row r="153" spans="1:16" x14ac:dyDescent="0.25">
      <c r="A153">
        <v>16</v>
      </c>
      <c r="B153" t="s">
        <v>11</v>
      </c>
      <c r="C153">
        <v>3</v>
      </c>
      <c r="D153" t="str">
        <f t="shared" si="6"/>
        <v>Medium</v>
      </c>
      <c r="E153" t="s">
        <v>12</v>
      </c>
      <c r="F153" s="1">
        <v>8.6</v>
      </c>
      <c r="G153" t="str">
        <f t="shared" si="7"/>
        <v>Normal</v>
      </c>
      <c r="H153">
        <v>1.5</v>
      </c>
      <c r="I153">
        <v>2.84</v>
      </c>
      <c r="J153" s="1">
        <v>0.3</v>
      </c>
      <c r="K153" t="str">
        <f t="shared" si="8"/>
        <v>0-1 hours</v>
      </c>
      <c r="L153" t="s">
        <v>16</v>
      </c>
      <c r="M153">
        <v>6</v>
      </c>
      <c r="N153">
        <v>4</v>
      </c>
      <c r="O153">
        <v>3</v>
      </c>
      <c r="P153">
        <v>0</v>
      </c>
    </row>
    <row r="154" spans="1:16" x14ac:dyDescent="0.25">
      <c r="A154">
        <v>13</v>
      </c>
      <c r="B154" t="s">
        <v>14</v>
      </c>
      <c r="C154">
        <v>3.9</v>
      </c>
      <c r="D154" t="str">
        <f t="shared" si="6"/>
        <v>Medium</v>
      </c>
      <c r="E154" t="s">
        <v>12</v>
      </c>
      <c r="F154" s="1">
        <v>5</v>
      </c>
      <c r="G154" t="str">
        <f t="shared" si="7"/>
        <v>Low</v>
      </c>
      <c r="H154">
        <v>0.7</v>
      </c>
      <c r="I154">
        <v>2.98</v>
      </c>
      <c r="J154" s="1">
        <v>0.3</v>
      </c>
      <c r="K154" t="str">
        <f t="shared" si="8"/>
        <v>0-1 hours</v>
      </c>
      <c r="L154" t="s">
        <v>17</v>
      </c>
      <c r="M154">
        <v>10</v>
      </c>
      <c r="N154">
        <v>8</v>
      </c>
      <c r="O154">
        <v>3</v>
      </c>
      <c r="P154">
        <v>0</v>
      </c>
    </row>
    <row r="155" spans="1:16" x14ac:dyDescent="0.25">
      <c r="A155">
        <v>13</v>
      </c>
      <c r="B155" t="s">
        <v>11</v>
      </c>
      <c r="C155">
        <v>7</v>
      </c>
      <c r="D155" t="str">
        <f t="shared" si="6"/>
        <v>High</v>
      </c>
      <c r="E155" t="s">
        <v>15</v>
      </c>
      <c r="F155" s="1">
        <v>8.9</v>
      </c>
      <c r="G155" t="str">
        <f t="shared" si="7"/>
        <v>Normal</v>
      </c>
      <c r="H155">
        <v>0.6</v>
      </c>
      <c r="I155">
        <v>2.7</v>
      </c>
      <c r="J155" s="1">
        <v>1.8</v>
      </c>
      <c r="K155" t="str">
        <f t="shared" si="8"/>
        <v>1-2 hours</v>
      </c>
      <c r="L155" t="s">
        <v>17</v>
      </c>
      <c r="M155">
        <v>5</v>
      </c>
      <c r="N155">
        <v>4</v>
      </c>
      <c r="O155">
        <v>1</v>
      </c>
      <c r="P155">
        <v>0</v>
      </c>
    </row>
    <row r="156" spans="1:16" x14ac:dyDescent="0.25">
      <c r="A156">
        <v>16</v>
      </c>
      <c r="B156" t="s">
        <v>11</v>
      </c>
      <c r="C156">
        <v>3.6</v>
      </c>
      <c r="D156" t="str">
        <f t="shared" si="6"/>
        <v>Medium</v>
      </c>
      <c r="E156" t="s">
        <v>18</v>
      </c>
      <c r="F156" s="1">
        <v>8.9</v>
      </c>
      <c r="G156" t="str">
        <f t="shared" si="7"/>
        <v>Normal</v>
      </c>
      <c r="H156">
        <v>1.9</v>
      </c>
      <c r="I156">
        <v>2.11</v>
      </c>
      <c r="J156" s="1">
        <v>1.7</v>
      </c>
      <c r="K156" t="str">
        <f t="shared" si="8"/>
        <v>1-2 hours</v>
      </c>
      <c r="L156" t="s">
        <v>13</v>
      </c>
      <c r="M156">
        <v>9</v>
      </c>
      <c r="N156">
        <v>5</v>
      </c>
      <c r="O156">
        <v>2</v>
      </c>
      <c r="P156">
        <v>0</v>
      </c>
    </row>
    <row r="157" spans="1:16" x14ac:dyDescent="0.25">
      <c r="A157">
        <v>15</v>
      </c>
      <c r="B157" t="s">
        <v>11</v>
      </c>
      <c r="C157">
        <v>7.6</v>
      </c>
      <c r="D157" t="str">
        <f t="shared" si="6"/>
        <v>High</v>
      </c>
      <c r="E157" t="s">
        <v>12</v>
      </c>
      <c r="F157" s="1">
        <v>7.6</v>
      </c>
      <c r="G157" t="str">
        <f t="shared" si="7"/>
        <v>Low</v>
      </c>
      <c r="H157">
        <v>2.7</v>
      </c>
      <c r="I157">
        <v>2.36</v>
      </c>
      <c r="J157" s="1">
        <v>1.2</v>
      </c>
      <c r="K157" t="str">
        <f t="shared" si="8"/>
        <v>1-2 hours</v>
      </c>
      <c r="L157" t="s">
        <v>17</v>
      </c>
      <c r="M157">
        <v>5</v>
      </c>
      <c r="N157">
        <v>10</v>
      </c>
      <c r="O157">
        <v>3</v>
      </c>
      <c r="P157">
        <v>0</v>
      </c>
    </row>
    <row r="158" spans="1:16" x14ac:dyDescent="0.25">
      <c r="A158">
        <v>19</v>
      </c>
      <c r="B158" t="s">
        <v>11</v>
      </c>
      <c r="C158">
        <v>1.3</v>
      </c>
      <c r="D158" t="str">
        <f t="shared" si="6"/>
        <v>Low</v>
      </c>
      <c r="E158" t="s">
        <v>12</v>
      </c>
      <c r="F158" s="1">
        <v>4.5</v>
      </c>
      <c r="G158" t="str">
        <f t="shared" si="7"/>
        <v>Low</v>
      </c>
      <c r="H158">
        <v>0.7</v>
      </c>
      <c r="I158">
        <v>2.5099999999999998</v>
      </c>
      <c r="J158" s="1">
        <v>0.8</v>
      </c>
      <c r="K158" t="str">
        <f t="shared" si="8"/>
        <v>0-1 hours</v>
      </c>
      <c r="L158" t="s">
        <v>13</v>
      </c>
      <c r="M158">
        <v>10</v>
      </c>
      <c r="N158">
        <v>9</v>
      </c>
      <c r="O158">
        <v>7</v>
      </c>
      <c r="P158">
        <v>0</v>
      </c>
    </row>
    <row r="159" spans="1:16" x14ac:dyDescent="0.25">
      <c r="A159">
        <v>17</v>
      </c>
      <c r="B159" t="s">
        <v>14</v>
      </c>
      <c r="C159">
        <v>2.1</v>
      </c>
      <c r="D159" t="str">
        <f t="shared" si="6"/>
        <v>Medium</v>
      </c>
      <c r="E159" t="s">
        <v>18</v>
      </c>
      <c r="F159" s="1">
        <v>7.8</v>
      </c>
      <c r="G159" t="str">
        <f t="shared" si="7"/>
        <v>Low</v>
      </c>
      <c r="H159">
        <v>2.1</v>
      </c>
      <c r="I159">
        <v>3.29</v>
      </c>
      <c r="J159" s="1">
        <v>1.5</v>
      </c>
      <c r="K159" t="str">
        <f t="shared" si="8"/>
        <v>1-2 hours</v>
      </c>
      <c r="L159" t="s">
        <v>13</v>
      </c>
      <c r="M159">
        <v>8</v>
      </c>
      <c r="N159">
        <v>1</v>
      </c>
      <c r="O159">
        <v>7</v>
      </c>
      <c r="P159">
        <v>0</v>
      </c>
    </row>
    <row r="160" spans="1:16" x14ac:dyDescent="0.25">
      <c r="A160">
        <v>15</v>
      </c>
      <c r="B160" t="s">
        <v>14</v>
      </c>
      <c r="C160">
        <v>2.7</v>
      </c>
      <c r="D160" t="str">
        <f t="shared" si="6"/>
        <v>Medium</v>
      </c>
      <c r="E160" t="s">
        <v>18</v>
      </c>
      <c r="F160" s="1">
        <v>8.8000000000000007</v>
      </c>
      <c r="G160" t="str">
        <f t="shared" si="7"/>
        <v>Normal</v>
      </c>
      <c r="H160">
        <v>1.9</v>
      </c>
      <c r="I160">
        <v>2.14</v>
      </c>
      <c r="J160" s="1">
        <v>0.4</v>
      </c>
      <c r="K160" t="str">
        <f t="shared" si="8"/>
        <v>0-1 hours</v>
      </c>
      <c r="L160" t="s">
        <v>16</v>
      </c>
      <c r="M160">
        <v>8</v>
      </c>
      <c r="N160">
        <v>10</v>
      </c>
      <c r="O160">
        <v>3</v>
      </c>
      <c r="P160">
        <v>0</v>
      </c>
    </row>
    <row r="161" spans="1:16" x14ac:dyDescent="0.25">
      <c r="A161">
        <v>13</v>
      </c>
      <c r="B161" t="s">
        <v>11</v>
      </c>
      <c r="C161">
        <v>7.5</v>
      </c>
      <c r="D161" t="str">
        <f t="shared" si="6"/>
        <v>High</v>
      </c>
      <c r="E161" t="s">
        <v>18</v>
      </c>
      <c r="F161" s="1">
        <v>8</v>
      </c>
      <c r="G161" t="str">
        <f t="shared" si="7"/>
        <v>Normal</v>
      </c>
      <c r="H161">
        <v>2</v>
      </c>
      <c r="I161">
        <v>3.25</v>
      </c>
      <c r="J161" s="1">
        <v>0.7</v>
      </c>
      <c r="K161" t="str">
        <f t="shared" si="8"/>
        <v>0-1 hours</v>
      </c>
      <c r="L161" t="s">
        <v>17</v>
      </c>
      <c r="M161">
        <v>9</v>
      </c>
      <c r="N161">
        <v>10</v>
      </c>
      <c r="O161">
        <v>2</v>
      </c>
      <c r="P161">
        <v>0</v>
      </c>
    </row>
    <row r="162" spans="1:16" x14ac:dyDescent="0.25">
      <c r="A162">
        <v>16</v>
      </c>
      <c r="B162" t="s">
        <v>14</v>
      </c>
      <c r="C162">
        <v>6.1</v>
      </c>
      <c r="D162" t="str">
        <f t="shared" si="6"/>
        <v>Medium</v>
      </c>
      <c r="E162" t="s">
        <v>18</v>
      </c>
      <c r="F162" s="1">
        <v>8.8000000000000007</v>
      </c>
      <c r="G162" t="str">
        <f t="shared" si="7"/>
        <v>Normal</v>
      </c>
      <c r="H162">
        <v>1.7</v>
      </c>
      <c r="I162">
        <v>3.55</v>
      </c>
      <c r="J162" s="1">
        <v>1.3</v>
      </c>
      <c r="K162" t="str">
        <f t="shared" si="8"/>
        <v>1-2 hours</v>
      </c>
      <c r="L162" t="s">
        <v>17</v>
      </c>
      <c r="M162">
        <v>6</v>
      </c>
      <c r="N162">
        <v>10</v>
      </c>
      <c r="O162">
        <v>9</v>
      </c>
      <c r="P162">
        <v>0</v>
      </c>
    </row>
    <row r="163" spans="1:16" x14ac:dyDescent="0.25">
      <c r="A163">
        <v>19</v>
      </c>
      <c r="B163" t="s">
        <v>11</v>
      </c>
      <c r="C163">
        <v>2.4</v>
      </c>
      <c r="D163" t="str">
        <f t="shared" si="6"/>
        <v>Medium</v>
      </c>
      <c r="E163" t="s">
        <v>18</v>
      </c>
      <c r="F163" s="1">
        <v>7.4</v>
      </c>
      <c r="G163" t="str">
        <f t="shared" si="7"/>
        <v>Low</v>
      </c>
      <c r="H163">
        <v>1.2</v>
      </c>
      <c r="I163">
        <v>2.5</v>
      </c>
      <c r="J163" s="1">
        <v>1.8</v>
      </c>
      <c r="K163" t="str">
        <f t="shared" si="8"/>
        <v>1-2 hours</v>
      </c>
      <c r="L163" t="s">
        <v>16</v>
      </c>
      <c r="M163">
        <v>2</v>
      </c>
      <c r="N163">
        <v>5</v>
      </c>
      <c r="O163">
        <v>2</v>
      </c>
      <c r="P163">
        <v>0</v>
      </c>
    </row>
    <row r="164" spans="1:16" x14ac:dyDescent="0.25">
      <c r="A164">
        <v>19</v>
      </c>
      <c r="B164" t="s">
        <v>11</v>
      </c>
      <c r="C164">
        <v>2</v>
      </c>
      <c r="D164" t="str">
        <f t="shared" si="6"/>
        <v>Medium</v>
      </c>
      <c r="E164" t="s">
        <v>15</v>
      </c>
      <c r="F164" s="1">
        <v>5.3</v>
      </c>
      <c r="G164" t="str">
        <f t="shared" si="7"/>
        <v>Low</v>
      </c>
      <c r="H164">
        <v>1.7</v>
      </c>
      <c r="I164">
        <v>2.91</v>
      </c>
      <c r="J164" s="1">
        <v>0.8</v>
      </c>
      <c r="K164" t="str">
        <f t="shared" si="8"/>
        <v>0-1 hours</v>
      </c>
      <c r="L164" t="s">
        <v>13</v>
      </c>
      <c r="M164">
        <v>9</v>
      </c>
      <c r="N164">
        <v>5</v>
      </c>
      <c r="O164">
        <v>9</v>
      </c>
      <c r="P164">
        <v>0</v>
      </c>
    </row>
    <row r="165" spans="1:16" x14ac:dyDescent="0.25">
      <c r="A165">
        <v>15</v>
      </c>
      <c r="B165" t="s">
        <v>14</v>
      </c>
      <c r="C165">
        <v>7.8</v>
      </c>
      <c r="D165" t="str">
        <f t="shared" si="6"/>
        <v>High</v>
      </c>
      <c r="E165" t="s">
        <v>15</v>
      </c>
      <c r="F165" s="1">
        <v>5.3</v>
      </c>
      <c r="G165" t="str">
        <f t="shared" si="7"/>
        <v>Low</v>
      </c>
      <c r="H165">
        <v>0.5</v>
      </c>
      <c r="I165">
        <v>2.3199999999999998</v>
      </c>
      <c r="J165" s="1">
        <v>0.8</v>
      </c>
      <c r="K165" t="str">
        <f t="shared" si="8"/>
        <v>0-1 hours</v>
      </c>
      <c r="L165" t="s">
        <v>13</v>
      </c>
      <c r="M165">
        <v>8</v>
      </c>
      <c r="N165">
        <v>9</v>
      </c>
      <c r="O165">
        <v>3</v>
      </c>
      <c r="P165">
        <v>1</v>
      </c>
    </row>
    <row r="166" spans="1:16" x14ac:dyDescent="0.25">
      <c r="A166">
        <v>16</v>
      </c>
      <c r="B166" t="s">
        <v>14</v>
      </c>
      <c r="C166">
        <v>6.8</v>
      </c>
      <c r="D166" t="str">
        <f t="shared" si="6"/>
        <v>Medium</v>
      </c>
      <c r="E166" t="s">
        <v>15</v>
      </c>
      <c r="F166" s="1">
        <v>7.2</v>
      </c>
      <c r="G166" t="str">
        <f t="shared" si="7"/>
        <v>Low</v>
      </c>
      <c r="H166">
        <v>2.5</v>
      </c>
      <c r="I166">
        <v>3.61</v>
      </c>
      <c r="J166" s="1">
        <v>0.5</v>
      </c>
      <c r="K166" t="str">
        <f t="shared" si="8"/>
        <v>0-1 hours</v>
      </c>
      <c r="L166" t="s">
        <v>17</v>
      </c>
      <c r="M166">
        <v>10</v>
      </c>
      <c r="N166">
        <v>1</v>
      </c>
      <c r="O166">
        <v>9</v>
      </c>
      <c r="P166">
        <v>0</v>
      </c>
    </row>
    <row r="167" spans="1:16" x14ac:dyDescent="0.25">
      <c r="A167">
        <v>17</v>
      </c>
      <c r="B167" t="s">
        <v>11</v>
      </c>
      <c r="C167">
        <v>8</v>
      </c>
      <c r="D167" t="str">
        <f t="shared" si="6"/>
        <v>High</v>
      </c>
      <c r="E167" t="s">
        <v>12</v>
      </c>
      <c r="F167" s="1">
        <v>4.5999999999999996</v>
      </c>
      <c r="G167" t="str">
        <f t="shared" si="7"/>
        <v>Low</v>
      </c>
      <c r="H167">
        <v>2.6</v>
      </c>
      <c r="I167">
        <v>3.06</v>
      </c>
      <c r="J167" s="1">
        <v>0.1</v>
      </c>
      <c r="K167" t="str">
        <f t="shared" si="8"/>
        <v>0-1 hours</v>
      </c>
      <c r="L167" t="s">
        <v>16</v>
      </c>
      <c r="M167">
        <v>9</v>
      </c>
      <c r="N167">
        <v>2</v>
      </c>
      <c r="O167">
        <v>6</v>
      </c>
      <c r="P167">
        <v>0</v>
      </c>
    </row>
    <row r="168" spans="1:16" x14ac:dyDescent="0.25">
      <c r="A168">
        <v>13</v>
      </c>
      <c r="B168" t="s">
        <v>14</v>
      </c>
      <c r="C168">
        <v>7.3</v>
      </c>
      <c r="D168" t="str">
        <f t="shared" si="6"/>
        <v>High</v>
      </c>
      <c r="E168" t="s">
        <v>18</v>
      </c>
      <c r="F168" s="1">
        <v>8.9</v>
      </c>
      <c r="G168" t="str">
        <f t="shared" si="7"/>
        <v>Normal</v>
      </c>
      <c r="H168">
        <v>2.7</v>
      </c>
      <c r="I168">
        <v>3.68</v>
      </c>
      <c r="J168" s="1">
        <v>1.9</v>
      </c>
      <c r="K168" t="str">
        <f t="shared" si="8"/>
        <v>1-2 hours</v>
      </c>
      <c r="L168" t="s">
        <v>13</v>
      </c>
      <c r="M168">
        <v>6</v>
      </c>
      <c r="N168">
        <v>6</v>
      </c>
      <c r="O168">
        <v>10</v>
      </c>
      <c r="P168">
        <v>0</v>
      </c>
    </row>
    <row r="169" spans="1:16" x14ac:dyDescent="0.25">
      <c r="A169">
        <v>15</v>
      </c>
      <c r="B169" t="s">
        <v>14</v>
      </c>
      <c r="C169">
        <v>1.5</v>
      </c>
      <c r="D169" t="str">
        <f t="shared" si="6"/>
        <v>Low</v>
      </c>
      <c r="E169" t="s">
        <v>18</v>
      </c>
      <c r="F169" s="1">
        <v>8.6999999999999993</v>
      </c>
      <c r="G169" t="str">
        <f t="shared" si="7"/>
        <v>Normal</v>
      </c>
      <c r="H169">
        <v>1.2</v>
      </c>
      <c r="I169">
        <v>2.52</v>
      </c>
      <c r="J169" s="1">
        <v>0.1</v>
      </c>
      <c r="K169" t="str">
        <f t="shared" si="8"/>
        <v>0-1 hours</v>
      </c>
      <c r="L169" t="s">
        <v>13</v>
      </c>
      <c r="M169">
        <v>9</v>
      </c>
      <c r="N169">
        <v>7</v>
      </c>
      <c r="O169">
        <v>2</v>
      </c>
      <c r="P169">
        <v>0</v>
      </c>
    </row>
    <row r="170" spans="1:16" x14ac:dyDescent="0.25">
      <c r="A170">
        <v>15</v>
      </c>
      <c r="B170" t="s">
        <v>14</v>
      </c>
      <c r="C170">
        <v>3.4</v>
      </c>
      <c r="D170" t="str">
        <f t="shared" si="6"/>
        <v>Medium</v>
      </c>
      <c r="E170" t="s">
        <v>12</v>
      </c>
      <c r="F170" s="1">
        <v>5</v>
      </c>
      <c r="G170" t="str">
        <f t="shared" si="7"/>
        <v>Low</v>
      </c>
      <c r="H170">
        <v>1.8</v>
      </c>
      <c r="I170">
        <v>3.2</v>
      </c>
      <c r="J170" s="1">
        <v>1.5</v>
      </c>
      <c r="K170" t="str">
        <f t="shared" si="8"/>
        <v>1-2 hours</v>
      </c>
      <c r="L170" t="s">
        <v>17</v>
      </c>
      <c r="M170">
        <v>4</v>
      </c>
      <c r="N170">
        <v>5</v>
      </c>
      <c r="O170">
        <v>1</v>
      </c>
      <c r="P170">
        <v>0</v>
      </c>
    </row>
    <row r="171" spans="1:16" x14ac:dyDescent="0.25">
      <c r="A171">
        <v>15</v>
      </c>
      <c r="B171" t="s">
        <v>11</v>
      </c>
      <c r="C171">
        <v>7.3</v>
      </c>
      <c r="D171" t="str">
        <f t="shared" si="6"/>
        <v>High</v>
      </c>
      <c r="E171" t="s">
        <v>18</v>
      </c>
      <c r="F171" s="1">
        <v>4.8</v>
      </c>
      <c r="G171" t="str">
        <f t="shared" si="7"/>
        <v>Low</v>
      </c>
      <c r="H171">
        <v>2.6</v>
      </c>
      <c r="I171">
        <v>3.81</v>
      </c>
      <c r="J171" s="1">
        <v>1.5</v>
      </c>
      <c r="K171" t="str">
        <f t="shared" si="8"/>
        <v>1-2 hours</v>
      </c>
      <c r="L171" t="s">
        <v>13</v>
      </c>
      <c r="M171">
        <v>4</v>
      </c>
      <c r="N171">
        <v>7</v>
      </c>
      <c r="O171">
        <v>4</v>
      </c>
      <c r="P171">
        <v>0</v>
      </c>
    </row>
    <row r="172" spans="1:16" x14ac:dyDescent="0.25">
      <c r="A172">
        <v>13</v>
      </c>
      <c r="B172" t="s">
        <v>14</v>
      </c>
      <c r="C172">
        <v>1.9</v>
      </c>
      <c r="D172" t="str">
        <f t="shared" si="6"/>
        <v>Low</v>
      </c>
      <c r="E172" t="s">
        <v>15</v>
      </c>
      <c r="F172" s="1">
        <v>8.5</v>
      </c>
      <c r="G172" t="str">
        <f t="shared" si="7"/>
        <v>Normal</v>
      </c>
      <c r="H172">
        <v>0.8</v>
      </c>
      <c r="I172">
        <v>3.33</v>
      </c>
      <c r="J172" s="1">
        <v>1.3</v>
      </c>
      <c r="K172" t="str">
        <f t="shared" si="8"/>
        <v>1-2 hours</v>
      </c>
      <c r="L172" t="s">
        <v>17</v>
      </c>
      <c r="M172">
        <v>5</v>
      </c>
      <c r="N172">
        <v>1</v>
      </c>
      <c r="O172">
        <v>3</v>
      </c>
      <c r="P172">
        <v>0</v>
      </c>
    </row>
    <row r="173" spans="1:16" x14ac:dyDescent="0.25">
      <c r="A173">
        <v>17</v>
      </c>
      <c r="B173" t="s">
        <v>14</v>
      </c>
      <c r="C173">
        <v>3.9</v>
      </c>
      <c r="D173" t="str">
        <f t="shared" si="6"/>
        <v>Medium</v>
      </c>
      <c r="E173" t="s">
        <v>12</v>
      </c>
      <c r="F173" s="1">
        <v>8.1999999999999993</v>
      </c>
      <c r="G173" t="str">
        <f t="shared" si="7"/>
        <v>Normal</v>
      </c>
      <c r="H173">
        <v>1.3</v>
      </c>
      <c r="I173">
        <v>3.21</v>
      </c>
      <c r="J173" s="1">
        <v>1.8</v>
      </c>
      <c r="K173" t="str">
        <f t="shared" si="8"/>
        <v>1-2 hours</v>
      </c>
      <c r="L173" t="s">
        <v>17</v>
      </c>
      <c r="M173">
        <v>3</v>
      </c>
      <c r="N173">
        <v>7</v>
      </c>
      <c r="O173">
        <v>7</v>
      </c>
      <c r="P173">
        <v>0</v>
      </c>
    </row>
    <row r="174" spans="1:16" x14ac:dyDescent="0.25">
      <c r="A174">
        <v>18</v>
      </c>
      <c r="B174" t="s">
        <v>11</v>
      </c>
      <c r="C174">
        <v>1.3</v>
      </c>
      <c r="D174" t="str">
        <f t="shared" si="6"/>
        <v>Low</v>
      </c>
      <c r="E174" t="s">
        <v>12</v>
      </c>
      <c r="F174" s="1">
        <v>5.8</v>
      </c>
      <c r="G174" t="str">
        <f t="shared" si="7"/>
        <v>Low</v>
      </c>
      <c r="H174">
        <v>1.3</v>
      </c>
      <c r="I174">
        <v>3.35</v>
      </c>
      <c r="J174" s="1">
        <v>1.9</v>
      </c>
      <c r="K174" t="str">
        <f t="shared" si="8"/>
        <v>1-2 hours</v>
      </c>
      <c r="L174" t="s">
        <v>17</v>
      </c>
      <c r="M174">
        <v>9</v>
      </c>
      <c r="N174">
        <v>4</v>
      </c>
      <c r="O174">
        <v>9</v>
      </c>
      <c r="P174">
        <v>0</v>
      </c>
    </row>
    <row r="175" spans="1:16" x14ac:dyDescent="0.25">
      <c r="A175">
        <v>19</v>
      </c>
      <c r="B175" t="s">
        <v>11</v>
      </c>
      <c r="C175">
        <v>4.7</v>
      </c>
      <c r="D175" t="str">
        <f t="shared" si="6"/>
        <v>Medium</v>
      </c>
      <c r="E175" t="s">
        <v>15</v>
      </c>
      <c r="F175" s="1">
        <v>8.1999999999999993</v>
      </c>
      <c r="G175" t="str">
        <f t="shared" si="7"/>
        <v>Normal</v>
      </c>
      <c r="H175">
        <v>1.8</v>
      </c>
      <c r="I175">
        <v>2.2599999999999998</v>
      </c>
      <c r="J175" s="1">
        <v>1</v>
      </c>
      <c r="K175" t="str">
        <f t="shared" si="8"/>
        <v>0-1 hours</v>
      </c>
      <c r="L175" t="s">
        <v>13</v>
      </c>
      <c r="M175">
        <v>7</v>
      </c>
      <c r="N175">
        <v>4</v>
      </c>
      <c r="O175">
        <v>7</v>
      </c>
      <c r="P175">
        <v>0</v>
      </c>
    </row>
    <row r="176" spans="1:16" x14ac:dyDescent="0.25">
      <c r="A176">
        <v>15</v>
      </c>
      <c r="B176" t="s">
        <v>11</v>
      </c>
      <c r="C176">
        <v>1.9</v>
      </c>
      <c r="D176" t="str">
        <f t="shared" si="6"/>
        <v>Low</v>
      </c>
      <c r="E176" t="s">
        <v>15</v>
      </c>
      <c r="F176" s="1">
        <v>5.8</v>
      </c>
      <c r="G176" t="str">
        <f t="shared" si="7"/>
        <v>Low</v>
      </c>
      <c r="H176">
        <v>2.2999999999999998</v>
      </c>
      <c r="I176">
        <v>2.4700000000000002</v>
      </c>
      <c r="J176" s="1">
        <v>0.3</v>
      </c>
      <c r="K176" t="str">
        <f t="shared" si="8"/>
        <v>0-1 hours</v>
      </c>
      <c r="L176" t="s">
        <v>16</v>
      </c>
      <c r="M176">
        <v>10</v>
      </c>
      <c r="N176">
        <v>9</v>
      </c>
      <c r="O176">
        <v>4</v>
      </c>
      <c r="P176">
        <v>0</v>
      </c>
    </row>
    <row r="177" spans="1:16" x14ac:dyDescent="0.25">
      <c r="A177">
        <v>18</v>
      </c>
      <c r="B177" t="s">
        <v>14</v>
      </c>
      <c r="C177">
        <v>7</v>
      </c>
      <c r="D177" t="str">
        <f t="shared" si="6"/>
        <v>High</v>
      </c>
      <c r="E177" t="s">
        <v>18</v>
      </c>
      <c r="F177" s="1">
        <v>6.3</v>
      </c>
      <c r="G177" t="str">
        <f t="shared" si="7"/>
        <v>Low</v>
      </c>
      <c r="H177">
        <v>1.6</v>
      </c>
      <c r="I177">
        <v>2.5499999999999998</v>
      </c>
      <c r="J177" s="1">
        <v>0.5</v>
      </c>
      <c r="K177" t="str">
        <f t="shared" si="8"/>
        <v>0-1 hours</v>
      </c>
      <c r="L177" t="s">
        <v>17</v>
      </c>
      <c r="M177">
        <v>10</v>
      </c>
      <c r="N177">
        <v>1</v>
      </c>
      <c r="O177">
        <v>8</v>
      </c>
      <c r="P177">
        <v>0</v>
      </c>
    </row>
    <row r="178" spans="1:16" x14ac:dyDescent="0.25">
      <c r="A178">
        <v>15</v>
      </c>
      <c r="B178" t="s">
        <v>11</v>
      </c>
      <c r="C178">
        <v>6.2</v>
      </c>
      <c r="D178" t="str">
        <f t="shared" si="6"/>
        <v>Medium</v>
      </c>
      <c r="E178" t="s">
        <v>15</v>
      </c>
      <c r="F178" s="1">
        <v>6.3</v>
      </c>
      <c r="G178" t="str">
        <f t="shared" si="7"/>
        <v>Low</v>
      </c>
      <c r="H178">
        <v>1.7</v>
      </c>
      <c r="I178">
        <v>2.2599999999999998</v>
      </c>
      <c r="J178" s="1">
        <v>1.1000000000000001</v>
      </c>
      <c r="K178" t="str">
        <f t="shared" si="8"/>
        <v>1-2 hours</v>
      </c>
      <c r="L178" t="s">
        <v>16</v>
      </c>
      <c r="M178">
        <v>9</v>
      </c>
      <c r="N178">
        <v>6</v>
      </c>
      <c r="O178">
        <v>2</v>
      </c>
      <c r="P178">
        <v>0</v>
      </c>
    </row>
    <row r="179" spans="1:16" x14ac:dyDescent="0.25">
      <c r="A179">
        <v>14</v>
      </c>
      <c r="B179" t="s">
        <v>11</v>
      </c>
      <c r="C179">
        <v>3.2</v>
      </c>
      <c r="D179" t="str">
        <f t="shared" si="6"/>
        <v>Medium</v>
      </c>
      <c r="E179" t="s">
        <v>15</v>
      </c>
      <c r="F179" s="1">
        <v>8</v>
      </c>
      <c r="G179" t="str">
        <f t="shared" si="7"/>
        <v>Normal</v>
      </c>
      <c r="H179">
        <v>1.3</v>
      </c>
      <c r="I179">
        <v>2.5</v>
      </c>
      <c r="J179" s="1">
        <v>1.1000000000000001</v>
      </c>
      <c r="K179" t="str">
        <f t="shared" si="8"/>
        <v>1-2 hours</v>
      </c>
      <c r="L179" t="s">
        <v>16</v>
      </c>
      <c r="M179">
        <v>2</v>
      </c>
      <c r="N179">
        <v>7</v>
      </c>
      <c r="O179">
        <v>5</v>
      </c>
      <c r="P179">
        <v>0</v>
      </c>
    </row>
    <row r="180" spans="1:16" x14ac:dyDescent="0.25">
      <c r="A180">
        <v>18</v>
      </c>
      <c r="B180" t="s">
        <v>14</v>
      </c>
      <c r="C180">
        <v>4.5</v>
      </c>
      <c r="D180" t="str">
        <f t="shared" si="6"/>
        <v>Medium</v>
      </c>
      <c r="E180" t="s">
        <v>18</v>
      </c>
      <c r="F180" s="1">
        <v>7.9</v>
      </c>
      <c r="G180" t="str">
        <f t="shared" si="7"/>
        <v>Low</v>
      </c>
      <c r="H180">
        <v>1.4</v>
      </c>
      <c r="I180">
        <v>2.38</v>
      </c>
      <c r="J180" s="1">
        <v>0.1</v>
      </c>
      <c r="K180" t="str">
        <f t="shared" si="8"/>
        <v>0-1 hours</v>
      </c>
      <c r="L180" t="s">
        <v>16</v>
      </c>
      <c r="M180">
        <v>7</v>
      </c>
      <c r="N180">
        <v>9</v>
      </c>
      <c r="O180">
        <v>1</v>
      </c>
      <c r="P180">
        <v>0</v>
      </c>
    </row>
    <row r="181" spans="1:16" x14ac:dyDescent="0.25">
      <c r="A181">
        <v>14</v>
      </c>
      <c r="B181" t="s">
        <v>14</v>
      </c>
      <c r="C181">
        <v>1.1000000000000001</v>
      </c>
      <c r="D181" t="str">
        <f t="shared" si="6"/>
        <v>Low</v>
      </c>
      <c r="E181" t="s">
        <v>18</v>
      </c>
      <c r="F181" s="1">
        <v>6.1</v>
      </c>
      <c r="G181" t="str">
        <f t="shared" si="7"/>
        <v>Low</v>
      </c>
      <c r="H181">
        <v>2.5</v>
      </c>
      <c r="I181">
        <v>2.8</v>
      </c>
      <c r="J181" s="1">
        <v>1.8</v>
      </c>
      <c r="K181" t="str">
        <f t="shared" si="8"/>
        <v>1-2 hours</v>
      </c>
      <c r="L181" t="s">
        <v>16</v>
      </c>
      <c r="M181">
        <v>4</v>
      </c>
      <c r="N181">
        <v>10</v>
      </c>
      <c r="O181">
        <v>3</v>
      </c>
      <c r="P181">
        <v>0</v>
      </c>
    </row>
    <row r="182" spans="1:16" x14ac:dyDescent="0.25">
      <c r="A182">
        <v>13</v>
      </c>
      <c r="B182" t="s">
        <v>11</v>
      </c>
      <c r="C182">
        <v>5.9</v>
      </c>
      <c r="D182" t="str">
        <f t="shared" si="6"/>
        <v>Medium</v>
      </c>
      <c r="E182" t="s">
        <v>12</v>
      </c>
      <c r="F182" s="1">
        <v>8</v>
      </c>
      <c r="G182" t="str">
        <f t="shared" si="7"/>
        <v>Normal</v>
      </c>
      <c r="H182">
        <v>2.8</v>
      </c>
      <c r="I182">
        <v>3.21</v>
      </c>
      <c r="J182" s="1">
        <v>1.6</v>
      </c>
      <c r="K182" t="str">
        <f t="shared" si="8"/>
        <v>1-2 hours</v>
      </c>
      <c r="L182" t="s">
        <v>17</v>
      </c>
      <c r="M182">
        <v>2</v>
      </c>
      <c r="N182">
        <v>8</v>
      </c>
      <c r="O182">
        <v>8</v>
      </c>
      <c r="P182">
        <v>0</v>
      </c>
    </row>
    <row r="183" spans="1:16" x14ac:dyDescent="0.25">
      <c r="A183">
        <v>17</v>
      </c>
      <c r="B183" t="s">
        <v>11</v>
      </c>
      <c r="C183">
        <v>5.0999999999999996</v>
      </c>
      <c r="D183" t="str">
        <f t="shared" si="6"/>
        <v>Medium</v>
      </c>
      <c r="E183" t="s">
        <v>18</v>
      </c>
      <c r="F183" s="1">
        <v>5</v>
      </c>
      <c r="G183" t="str">
        <f t="shared" si="7"/>
        <v>Low</v>
      </c>
      <c r="H183">
        <v>2.2000000000000002</v>
      </c>
      <c r="I183">
        <v>3.58</v>
      </c>
      <c r="J183" s="1">
        <v>1.2</v>
      </c>
      <c r="K183" t="str">
        <f t="shared" si="8"/>
        <v>1-2 hours</v>
      </c>
      <c r="L183" t="s">
        <v>16</v>
      </c>
      <c r="M183">
        <v>6</v>
      </c>
      <c r="N183">
        <v>3</v>
      </c>
      <c r="O183">
        <v>9</v>
      </c>
      <c r="P183">
        <v>0</v>
      </c>
    </row>
    <row r="184" spans="1:16" x14ac:dyDescent="0.25">
      <c r="A184">
        <v>15</v>
      </c>
      <c r="B184" t="s">
        <v>11</v>
      </c>
      <c r="C184">
        <v>1.6</v>
      </c>
      <c r="D184" t="str">
        <f t="shared" si="6"/>
        <v>Low</v>
      </c>
      <c r="E184" t="s">
        <v>12</v>
      </c>
      <c r="F184" s="1">
        <v>6.9</v>
      </c>
      <c r="G184" t="str">
        <f t="shared" si="7"/>
        <v>Low</v>
      </c>
      <c r="H184">
        <v>2.2999999999999998</v>
      </c>
      <c r="I184">
        <v>3.16</v>
      </c>
      <c r="J184" s="1">
        <v>0.9</v>
      </c>
      <c r="K184" t="str">
        <f t="shared" si="8"/>
        <v>0-1 hours</v>
      </c>
      <c r="L184" t="s">
        <v>17</v>
      </c>
      <c r="M184">
        <v>3</v>
      </c>
      <c r="N184">
        <v>1</v>
      </c>
      <c r="O184">
        <v>5</v>
      </c>
      <c r="P184">
        <v>0</v>
      </c>
    </row>
    <row r="185" spans="1:16" x14ac:dyDescent="0.25">
      <c r="A185">
        <v>15</v>
      </c>
      <c r="B185" t="s">
        <v>14</v>
      </c>
      <c r="C185">
        <v>7.2</v>
      </c>
      <c r="D185" t="str">
        <f t="shared" si="6"/>
        <v>High</v>
      </c>
      <c r="E185" t="s">
        <v>15</v>
      </c>
      <c r="F185" s="1">
        <v>8</v>
      </c>
      <c r="G185" t="str">
        <f t="shared" si="7"/>
        <v>Normal</v>
      </c>
      <c r="H185">
        <v>1.4</v>
      </c>
      <c r="I185">
        <v>3.64</v>
      </c>
      <c r="J185" s="1">
        <v>0.4</v>
      </c>
      <c r="K185" t="str">
        <f t="shared" si="8"/>
        <v>0-1 hours</v>
      </c>
      <c r="L185" t="s">
        <v>17</v>
      </c>
      <c r="M185">
        <v>10</v>
      </c>
      <c r="N185">
        <v>5</v>
      </c>
      <c r="O185">
        <v>7</v>
      </c>
      <c r="P185">
        <v>0</v>
      </c>
    </row>
    <row r="186" spans="1:16" x14ac:dyDescent="0.25">
      <c r="A186">
        <v>17</v>
      </c>
      <c r="B186" t="s">
        <v>14</v>
      </c>
      <c r="C186">
        <v>1.4</v>
      </c>
      <c r="D186" t="str">
        <f t="shared" si="6"/>
        <v>Low</v>
      </c>
      <c r="E186" t="s">
        <v>12</v>
      </c>
      <c r="F186" s="1">
        <v>6.9</v>
      </c>
      <c r="G186" t="str">
        <f t="shared" si="7"/>
        <v>Low</v>
      </c>
      <c r="H186">
        <v>2.4</v>
      </c>
      <c r="I186">
        <v>3.06</v>
      </c>
      <c r="J186" s="1">
        <v>1.9</v>
      </c>
      <c r="K186" t="str">
        <f t="shared" si="8"/>
        <v>1-2 hours</v>
      </c>
      <c r="L186" t="s">
        <v>17</v>
      </c>
      <c r="M186">
        <v>4</v>
      </c>
      <c r="N186">
        <v>10</v>
      </c>
      <c r="O186">
        <v>8</v>
      </c>
      <c r="P186">
        <v>0</v>
      </c>
    </row>
    <row r="187" spans="1:16" x14ac:dyDescent="0.25">
      <c r="A187">
        <v>17</v>
      </c>
      <c r="B187" t="s">
        <v>14</v>
      </c>
      <c r="C187">
        <v>6.6</v>
      </c>
      <c r="D187" t="str">
        <f t="shared" si="6"/>
        <v>Medium</v>
      </c>
      <c r="E187" t="s">
        <v>12</v>
      </c>
      <c r="F187" s="1">
        <v>8</v>
      </c>
      <c r="G187" t="str">
        <f t="shared" si="7"/>
        <v>Normal</v>
      </c>
      <c r="H187">
        <v>2.2000000000000002</v>
      </c>
      <c r="I187">
        <v>2.21</v>
      </c>
      <c r="J187" s="1">
        <v>1</v>
      </c>
      <c r="K187" t="str">
        <f t="shared" si="8"/>
        <v>0-1 hours</v>
      </c>
      <c r="L187" t="s">
        <v>16</v>
      </c>
      <c r="M187">
        <v>10</v>
      </c>
      <c r="N187">
        <v>8</v>
      </c>
      <c r="O187">
        <v>10</v>
      </c>
      <c r="P187">
        <v>0</v>
      </c>
    </row>
    <row r="188" spans="1:16" x14ac:dyDescent="0.25">
      <c r="A188">
        <v>15</v>
      </c>
      <c r="B188" t="s">
        <v>14</v>
      </c>
      <c r="C188">
        <v>3.5</v>
      </c>
      <c r="D188" t="str">
        <f t="shared" si="6"/>
        <v>Medium</v>
      </c>
      <c r="E188" t="s">
        <v>12</v>
      </c>
      <c r="F188" s="1">
        <v>6.3</v>
      </c>
      <c r="G188" t="str">
        <f t="shared" si="7"/>
        <v>Low</v>
      </c>
      <c r="H188">
        <v>0.8</v>
      </c>
      <c r="I188">
        <v>2.71</v>
      </c>
      <c r="J188" s="1">
        <v>1.8</v>
      </c>
      <c r="K188" t="str">
        <f t="shared" si="8"/>
        <v>1-2 hours</v>
      </c>
      <c r="L188" t="s">
        <v>16</v>
      </c>
      <c r="M188">
        <v>7</v>
      </c>
      <c r="N188">
        <v>4</v>
      </c>
      <c r="O188">
        <v>2</v>
      </c>
      <c r="P188">
        <v>0</v>
      </c>
    </row>
    <row r="189" spans="1:16" x14ac:dyDescent="0.25">
      <c r="A189">
        <v>17</v>
      </c>
      <c r="B189" t="s">
        <v>14</v>
      </c>
      <c r="C189">
        <v>5.4</v>
      </c>
      <c r="D189" t="str">
        <f t="shared" si="6"/>
        <v>Medium</v>
      </c>
      <c r="E189" t="s">
        <v>18</v>
      </c>
      <c r="F189" s="1">
        <v>6.3</v>
      </c>
      <c r="G189" t="str">
        <f t="shared" si="7"/>
        <v>Low</v>
      </c>
      <c r="H189">
        <v>2.8</v>
      </c>
      <c r="I189">
        <v>3.06</v>
      </c>
      <c r="J189" s="1">
        <v>0.8</v>
      </c>
      <c r="K189" t="str">
        <f t="shared" si="8"/>
        <v>0-1 hours</v>
      </c>
      <c r="L189" t="s">
        <v>13</v>
      </c>
      <c r="M189">
        <v>3</v>
      </c>
      <c r="N189">
        <v>7</v>
      </c>
      <c r="O189">
        <v>9</v>
      </c>
      <c r="P189">
        <v>0</v>
      </c>
    </row>
    <row r="190" spans="1:16" x14ac:dyDescent="0.25">
      <c r="A190">
        <v>16</v>
      </c>
      <c r="B190" t="s">
        <v>14</v>
      </c>
      <c r="C190">
        <v>4.2</v>
      </c>
      <c r="D190" t="str">
        <f t="shared" si="6"/>
        <v>Medium</v>
      </c>
      <c r="E190" t="s">
        <v>18</v>
      </c>
      <c r="F190" s="1">
        <v>7.3</v>
      </c>
      <c r="G190" t="str">
        <f t="shared" si="7"/>
        <v>Low</v>
      </c>
      <c r="H190">
        <v>1.1000000000000001</v>
      </c>
      <c r="I190">
        <v>3.1</v>
      </c>
      <c r="J190" s="1">
        <v>1.6</v>
      </c>
      <c r="K190" t="str">
        <f t="shared" si="8"/>
        <v>1-2 hours</v>
      </c>
      <c r="L190" t="s">
        <v>17</v>
      </c>
      <c r="M190">
        <v>1</v>
      </c>
      <c r="N190">
        <v>6</v>
      </c>
      <c r="O190">
        <v>2</v>
      </c>
      <c r="P190">
        <v>0</v>
      </c>
    </row>
    <row r="191" spans="1:16" x14ac:dyDescent="0.25">
      <c r="A191">
        <v>13</v>
      </c>
      <c r="B191" t="s">
        <v>11</v>
      </c>
      <c r="C191">
        <v>2.5</v>
      </c>
      <c r="D191" t="str">
        <f t="shared" si="6"/>
        <v>Medium</v>
      </c>
      <c r="E191" t="s">
        <v>12</v>
      </c>
      <c r="F191" s="1">
        <v>8.3000000000000007</v>
      </c>
      <c r="G191" t="str">
        <f t="shared" si="7"/>
        <v>Normal</v>
      </c>
      <c r="H191">
        <v>1.6</v>
      </c>
      <c r="I191">
        <v>2.91</v>
      </c>
      <c r="J191" s="1">
        <v>0.6</v>
      </c>
      <c r="K191" t="str">
        <f t="shared" si="8"/>
        <v>0-1 hours</v>
      </c>
      <c r="L191" t="s">
        <v>16</v>
      </c>
      <c r="M191">
        <v>10</v>
      </c>
      <c r="N191">
        <v>2</v>
      </c>
      <c r="O191">
        <v>6</v>
      </c>
      <c r="P191">
        <v>0</v>
      </c>
    </row>
    <row r="192" spans="1:16" x14ac:dyDescent="0.25">
      <c r="A192">
        <v>16</v>
      </c>
      <c r="B192" t="s">
        <v>14</v>
      </c>
      <c r="C192">
        <v>3.8</v>
      </c>
      <c r="D192" t="str">
        <f t="shared" si="6"/>
        <v>Medium</v>
      </c>
      <c r="E192" t="s">
        <v>15</v>
      </c>
      <c r="F192" s="1">
        <v>6</v>
      </c>
      <c r="G192" t="str">
        <f t="shared" si="7"/>
        <v>Low</v>
      </c>
      <c r="H192">
        <v>3</v>
      </c>
      <c r="I192">
        <v>2.1</v>
      </c>
      <c r="J192" s="1">
        <v>0.2</v>
      </c>
      <c r="K192" t="str">
        <f t="shared" si="8"/>
        <v>0-1 hours</v>
      </c>
      <c r="L192" t="s">
        <v>13</v>
      </c>
      <c r="M192">
        <v>7</v>
      </c>
      <c r="N192">
        <v>9</v>
      </c>
      <c r="O192">
        <v>1</v>
      </c>
      <c r="P192">
        <v>0</v>
      </c>
    </row>
    <row r="193" spans="1:16" x14ac:dyDescent="0.25">
      <c r="A193">
        <v>13</v>
      </c>
      <c r="B193" t="s">
        <v>11</v>
      </c>
      <c r="C193">
        <v>1.8</v>
      </c>
      <c r="D193" t="str">
        <f t="shared" si="6"/>
        <v>Low</v>
      </c>
      <c r="E193" t="s">
        <v>12</v>
      </c>
      <c r="F193" s="1">
        <v>8.9</v>
      </c>
      <c r="G193" t="str">
        <f t="shared" si="7"/>
        <v>Normal</v>
      </c>
      <c r="H193">
        <v>1.2</v>
      </c>
      <c r="I193">
        <v>3.67</v>
      </c>
      <c r="J193" s="1">
        <v>0.1</v>
      </c>
      <c r="K193" t="str">
        <f t="shared" si="8"/>
        <v>0-1 hours</v>
      </c>
      <c r="L193" t="s">
        <v>17</v>
      </c>
      <c r="M193">
        <v>2</v>
      </c>
      <c r="N193">
        <v>8</v>
      </c>
      <c r="O193">
        <v>9</v>
      </c>
      <c r="P193">
        <v>0</v>
      </c>
    </row>
    <row r="194" spans="1:16" x14ac:dyDescent="0.25">
      <c r="A194">
        <v>14</v>
      </c>
      <c r="B194" t="s">
        <v>11</v>
      </c>
      <c r="C194">
        <v>5.4</v>
      </c>
      <c r="D194" t="str">
        <f t="shared" ref="D194:D257" si="9">IF(C194&lt;2,"Low",IF(C194&lt;7,"Medium","High"))</f>
        <v>Medium</v>
      </c>
      <c r="E194" t="s">
        <v>12</v>
      </c>
      <c r="F194" s="1">
        <v>5.6</v>
      </c>
      <c r="G194" t="str">
        <f t="shared" ref="G194:G257" si="10">IF(F194&gt;=8,"Normal","Low")</f>
        <v>Low</v>
      </c>
      <c r="H194">
        <v>1.8</v>
      </c>
      <c r="I194">
        <v>3.01</v>
      </c>
      <c r="J194" s="1">
        <v>0.9</v>
      </c>
      <c r="K194" t="str">
        <f t="shared" ref="K194:K257" si="11">IF(J194=0,"No activity",IF(J194&lt;=1,"0-1 hours","1-2 hours"))</f>
        <v>0-1 hours</v>
      </c>
      <c r="L194" t="s">
        <v>13</v>
      </c>
      <c r="M194">
        <v>10</v>
      </c>
      <c r="N194">
        <v>6</v>
      </c>
      <c r="O194">
        <v>8</v>
      </c>
      <c r="P194">
        <v>0</v>
      </c>
    </row>
    <row r="195" spans="1:16" x14ac:dyDescent="0.25">
      <c r="A195">
        <v>14</v>
      </c>
      <c r="B195" t="s">
        <v>14</v>
      </c>
      <c r="C195">
        <v>7.7</v>
      </c>
      <c r="D195" t="str">
        <f t="shared" si="9"/>
        <v>High</v>
      </c>
      <c r="E195" t="s">
        <v>12</v>
      </c>
      <c r="F195" s="1">
        <v>6.1</v>
      </c>
      <c r="G195" t="str">
        <f t="shared" si="10"/>
        <v>Low</v>
      </c>
      <c r="H195">
        <v>0.8</v>
      </c>
      <c r="I195">
        <v>3.47</v>
      </c>
      <c r="J195" s="1">
        <v>1.5</v>
      </c>
      <c r="K195" t="str">
        <f t="shared" si="11"/>
        <v>1-2 hours</v>
      </c>
      <c r="L195" t="s">
        <v>17</v>
      </c>
      <c r="M195">
        <v>9</v>
      </c>
      <c r="N195">
        <v>10</v>
      </c>
      <c r="O195">
        <v>9</v>
      </c>
      <c r="P195">
        <v>0</v>
      </c>
    </row>
    <row r="196" spans="1:16" x14ac:dyDescent="0.25">
      <c r="A196">
        <v>18</v>
      </c>
      <c r="B196" t="s">
        <v>14</v>
      </c>
      <c r="C196">
        <v>4.0999999999999996</v>
      </c>
      <c r="D196" t="str">
        <f t="shared" si="9"/>
        <v>Medium</v>
      </c>
      <c r="E196" t="s">
        <v>12</v>
      </c>
      <c r="F196" s="1">
        <v>8</v>
      </c>
      <c r="G196" t="str">
        <f t="shared" si="10"/>
        <v>Normal</v>
      </c>
      <c r="H196">
        <v>1.7</v>
      </c>
      <c r="I196">
        <v>2.29</v>
      </c>
      <c r="J196" s="1">
        <v>1.4</v>
      </c>
      <c r="K196" t="str">
        <f t="shared" si="11"/>
        <v>1-2 hours</v>
      </c>
      <c r="L196" t="s">
        <v>13</v>
      </c>
      <c r="M196">
        <v>2</v>
      </c>
      <c r="N196">
        <v>1</v>
      </c>
      <c r="O196">
        <v>10</v>
      </c>
      <c r="P196">
        <v>0</v>
      </c>
    </row>
    <row r="197" spans="1:16" x14ac:dyDescent="0.25">
      <c r="A197">
        <v>15</v>
      </c>
      <c r="B197" t="s">
        <v>14</v>
      </c>
      <c r="C197">
        <v>6.6</v>
      </c>
      <c r="D197" t="str">
        <f t="shared" si="9"/>
        <v>Medium</v>
      </c>
      <c r="E197" t="s">
        <v>18</v>
      </c>
      <c r="F197" s="1">
        <v>4.9000000000000004</v>
      </c>
      <c r="G197" t="str">
        <f t="shared" si="10"/>
        <v>Low</v>
      </c>
      <c r="H197">
        <v>3</v>
      </c>
      <c r="I197">
        <v>2.99</v>
      </c>
      <c r="J197" s="1">
        <v>0.9</v>
      </c>
      <c r="K197" t="str">
        <f t="shared" si="11"/>
        <v>0-1 hours</v>
      </c>
      <c r="L197" t="s">
        <v>17</v>
      </c>
      <c r="M197">
        <v>4</v>
      </c>
      <c r="N197">
        <v>8</v>
      </c>
      <c r="O197">
        <v>3</v>
      </c>
      <c r="P197">
        <v>0</v>
      </c>
    </row>
    <row r="198" spans="1:16" x14ac:dyDescent="0.25">
      <c r="A198">
        <v>16</v>
      </c>
      <c r="B198" t="s">
        <v>11</v>
      </c>
      <c r="C198">
        <v>2.2999999999999998</v>
      </c>
      <c r="D198" t="str">
        <f t="shared" si="9"/>
        <v>Medium</v>
      </c>
      <c r="E198" t="s">
        <v>18</v>
      </c>
      <c r="F198" s="1">
        <v>4.0999999999999996</v>
      </c>
      <c r="G198" t="str">
        <f t="shared" si="10"/>
        <v>Low</v>
      </c>
      <c r="H198">
        <v>0.8</v>
      </c>
      <c r="I198">
        <v>3.18</v>
      </c>
      <c r="J198" s="1">
        <v>1.7</v>
      </c>
      <c r="K198" t="str">
        <f t="shared" si="11"/>
        <v>1-2 hours</v>
      </c>
      <c r="L198" t="s">
        <v>17</v>
      </c>
      <c r="M198">
        <v>5</v>
      </c>
      <c r="N198">
        <v>3</v>
      </c>
      <c r="O198">
        <v>8</v>
      </c>
      <c r="P198">
        <v>0</v>
      </c>
    </row>
    <row r="199" spans="1:16" x14ac:dyDescent="0.25">
      <c r="A199">
        <v>17</v>
      </c>
      <c r="B199" t="s">
        <v>14</v>
      </c>
      <c r="C199">
        <v>7.5</v>
      </c>
      <c r="D199" t="str">
        <f t="shared" si="9"/>
        <v>High</v>
      </c>
      <c r="E199" t="s">
        <v>12</v>
      </c>
      <c r="F199" s="1">
        <v>5.9</v>
      </c>
      <c r="G199" t="str">
        <f t="shared" si="10"/>
        <v>Low</v>
      </c>
      <c r="H199">
        <v>2.9</v>
      </c>
      <c r="I199">
        <v>3.71</v>
      </c>
      <c r="J199" s="1">
        <v>1.7</v>
      </c>
      <c r="K199" t="str">
        <f t="shared" si="11"/>
        <v>1-2 hours</v>
      </c>
      <c r="L199" t="s">
        <v>13</v>
      </c>
      <c r="M199">
        <v>3</v>
      </c>
      <c r="N199">
        <v>1</v>
      </c>
      <c r="O199">
        <v>10</v>
      </c>
      <c r="P199">
        <v>0</v>
      </c>
    </row>
    <row r="200" spans="1:16" x14ac:dyDescent="0.25">
      <c r="A200">
        <v>18</v>
      </c>
      <c r="B200" t="s">
        <v>11</v>
      </c>
      <c r="C200">
        <v>7.1</v>
      </c>
      <c r="D200" t="str">
        <f t="shared" si="9"/>
        <v>High</v>
      </c>
      <c r="E200" t="s">
        <v>12</v>
      </c>
      <c r="F200" s="1">
        <v>8</v>
      </c>
      <c r="G200" t="str">
        <f t="shared" si="10"/>
        <v>Normal</v>
      </c>
      <c r="H200">
        <v>2.9</v>
      </c>
      <c r="I200">
        <v>2.59</v>
      </c>
      <c r="J200" s="1">
        <v>1.2</v>
      </c>
      <c r="K200" t="str">
        <f t="shared" si="11"/>
        <v>1-2 hours</v>
      </c>
      <c r="L200" t="s">
        <v>16</v>
      </c>
      <c r="M200">
        <v>10</v>
      </c>
      <c r="N200">
        <v>8</v>
      </c>
      <c r="O200">
        <v>5</v>
      </c>
      <c r="P200">
        <v>0</v>
      </c>
    </row>
    <row r="201" spans="1:16" x14ac:dyDescent="0.25">
      <c r="A201">
        <v>17</v>
      </c>
      <c r="B201" t="s">
        <v>14</v>
      </c>
      <c r="C201">
        <v>1.7</v>
      </c>
      <c r="D201" t="str">
        <f t="shared" si="9"/>
        <v>Low</v>
      </c>
      <c r="E201" t="s">
        <v>18</v>
      </c>
      <c r="F201" s="1">
        <v>6.3</v>
      </c>
      <c r="G201" t="str">
        <f t="shared" si="10"/>
        <v>Low</v>
      </c>
      <c r="H201">
        <v>1.5</v>
      </c>
      <c r="I201">
        <v>2.66</v>
      </c>
      <c r="J201" s="1">
        <v>1.8</v>
      </c>
      <c r="K201" t="str">
        <f t="shared" si="11"/>
        <v>1-2 hours</v>
      </c>
      <c r="L201" t="s">
        <v>13</v>
      </c>
      <c r="M201">
        <v>1</v>
      </c>
      <c r="N201">
        <v>4</v>
      </c>
      <c r="O201">
        <v>10</v>
      </c>
      <c r="P201">
        <v>0</v>
      </c>
    </row>
    <row r="202" spans="1:16" x14ac:dyDescent="0.25">
      <c r="A202">
        <v>13</v>
      </c>
      <c r="B202" t="s">
        <v>11</v>
      </c>
      <c r="C202">
        <v>7.9</v>
      </c>
      <c r="D202" t="str">
        <f t="shared" si="9"/>
        <v>High</v>
      </c>
      <c r="E202" t="s">
        <v>12</v>
      </c>
      <c r="F202" s="1">
        <v>5.8</v>
      </c>
      <c r="G202" t="str">
        <f t="shared" si="10"/>
        <v>Low</v>
      </c>
      <c r="H202">
        <v>0.8</v>
      </c>
      <c r="I202">
        <v>3.31</v>
      </c>
      <c r="J202" s="1">
        <v>1.6</v>
      </c>
      <c r="K202" t="str">
        <f t="shared" si="11"/>
        <v>1-2 hours</v>
      </c>
      <c r="L202" t="s">
        <v>17</v>
      </c>
      <c r="M202">
        <v>3</v>
      </c>
      <c r="N202">
        <v>7</v>
      </c>
      <c r="O202">
        <v>2</v>
      </c>
      <c r="P202">
        <v>0</v>
      </c>
    </row>
    <row r="203" spans="1:16" x14ac:dyDescent="0.25">
      <c r="A203">
        <v>16</v>
      </c>
      <c r="B203" t="s">
        <v>14</v>
      </c>
      <c r="C203">
        <v>4</v>
      </c>
      <c r="D203" t="str">
        <f t="shared" si="9"/>
        <v>Medium</v>
      </c>
      <c r="E203" t="s">
        <v>12</v>
      </c>
      <c r="F203" s="1">
        <v>7.9</v>
      </c>
      <c r="G203" t="str">
        <f t="shared" si="10"/>
        <v>Low</v>
      </c>
      <c r="H203">
        <v>1.9</v>
      </c>
      <c r="I203">
        <v>2.56</v>
      </c>
      <c r="J203" s="1">
        <v>0.1</v>
      </c>
      <c r="K203" t="str">
        <f t="shared" si="11"/>
        <v>0-1 hours</v>
      </c>
      <c r="L203" t="s">
        <v>16</v>
      </c>
      <c r="M203">
        <v>4</v>
      </c>
      <c r="N203">
        <v>9</v>
      </c>
      <c r="O203">
        <v>9</v>
      </c>
      <c r="P203">
        <v>0</v>
      </c>
    </row>
    <row r="204" spans="1:16" x14ac:dyDescent="0.25">
      <c r="A204">
        <v>15</v>
      </c>
      <c r="B204" t="s">
        <v>14</v>
      </c>
      <c r="C204">
        <v>1.2</v>
      </c>
      <c r="D204" t="str">
        <f t="shared" si="9"/>
        <v>Low</v>
      </c>
      <c r="E204" t="s">
        <v>15</v>
      </c>
      <c r="F204" s="1">
        <v>8.1</v>
      </c>
      <c r="G204" t="str">
        <f t="shared" si="10"/>
        <v>Normal</v>
      </c>
      <c r="H204">
        <v>2</v>
      </c>
      <c r="I204">
        <v>3.33</v>
      </c>
      <c r="J204" s="1">
        <v>1.5</v>
      </c>
      <c r="K204" t="str">
        <f t="shared" si="11"/>
        <v>1-2 hours</v>
      </c>
      <c r="L204" t="s">
        <v>17</v>
      </c>
      <c r="M204">
        <v>7</v>
      </c>
      <c r="N204">
        <v>3</v>
      </c>
      <c r="O204">
        <v>8</v>
      </c>
      <c r="P204">
        <v>0</v>
      </c>
    </row>
    <row r="205" spans="1:16" x14ac:dyDescent="0.25">
      <c r="A205">
        <v>19</v>
      </c>
      <c r="B205" t="s">
        <v>11</v>
      </c>
      <c r="C205">
        <v>3.5</v>
      </c>
      <c r="D205" t="str">
        <f t="shared" si="9"/>
        <v>Medium</v>
      </c>
      <c r="E205" t="s">
        <v>15</v>
      </c>
      <c r="F205" s="1">
        <v>8.4</v>
      </c>
      <c r="G205" t="str">
        <f t="shared" si="10"/>
        <v>Normal</v>
      </c>
      <c r="H205">
        <v>1.7</v>
      </c>
      <c r="I205">
        <v>2.46</v>
      </c>
      <c r="J205" s="1">
        <v>0.1</v>
      </c>
      <c r="K205" t="str">
        <f t="shared" si="11"/>
        <v>0-1 hours</v>
      </c>
      <c r="L205" t="s">
        <v>16</v>
      </c>
      <c r="M205">
        <v>6</v>
      </c>
      <c r="N205">
        <v>9</v>
      </c>
      <c r="O205">
        <v>3</v>
      </c>
      <c r="P205">
        <v>0</v>
      </c>
    </row>
    <row r="206" spans="1:16" x14ac:dyDescent="0.25">
      <c r="A206">
        <v>17</v>
      </c>
      <c r="B206" t="s">
        <v>11</v>
      </c>
      <c r="C206">
        <v>1.1000000000000001</v>
      </c>
      <c r="D206" t="str">
        <f t="shared" si="9"/>
        <v>Low</v>
      </c>
      <c r="E206" t="s">
        <v>12</v>
      </c>
      <c r="F206" s="1">
        <v>6.8</v>
      </c>
      <c r="G206" t="str">
        <f t="shared" si="10"/>
        <v>Low</v>
      </c>
      <c r="H206">
        <v>2</v>
      </c>
      <c r="I206">
        <v>3.45</v>
      </c>
      <c r="J206" s="1">
        <v>1.3</v>
      </c>
      <c r="K206" t="str">
        <f t="shared" si="11"/>
        <v>1-2 hours</v>
      </c>
      <c r="L206" t="s">
        <v>17</v>
      </c>
      <c r="M206">
        <v>7</v>
      </c>
      <c r="N206">
        <v>1</v>
      </c>
      <c r="O206">
        <v>2</v>
      </c>
      <c r="P206">
        <v>0</v>
      </c>
    </row>
    <row r="207" spans="1:16" x14ac:dyDescent="0.25">
      <c r="A207">
        <v>19</v>
      </c>
      <c r="B207" t="s">
        <v>14</v>
      </c>
      <c r="C207">
        <v>1.6</v>
      </c>
      <c r="D207" t="str">
        <f t="shared" si="9"/>
        <v>Low</v>
      </c>
      <c r="E207" t="s">
        <v>15</v>
      </c>
      <c r="F207" s="1">
        <v>4.0999999999999996</v>
      </c>
      <c r="G207" t="str">
        <f t="shared" si="10"/>
        <v>Low</v>
      </c>
      <c r="H207">
        <v>1.6</v>
      </c>
      <c r="I207">
        <v>3.15</v>
      </c>
      <c r="J207" s="1">
        <v>0.9</v>
      </c>
      <c r="K207" t="str">
        <f t="shared" si="11"/>
        <v>0-1 hours</v>
      </c>
      <c r="L207" t="s">
        <v>17</v>
      </c>
      <c r="M207">
        <v>2</v>
      </c>
      <c r="N207">
        <v>6</v>
      </c>
      <c r="O207">
        <v>4</v>
      </c>
      <c r="P207">
        <v>0</v>
      </c>
    </row>
    <row r="208" spans="1:16" x14ac:dyDescent="0.25">
      <c r="A208">
        <v>16</v>
      </c>
      <c r="B208" t="s">
        <v>14</v>
      </c>
      <c r="C208">
        <v>2.5</v>
      </c>
      <c r="D208" t="str">
        <f t="shared" si="9"/>
        <v>Medium</v>
      </c>
      <c r="E208" t="s">
        <v>15</v>
      </c>
      <c r="F208" s="1">
        <v>8.9</v>
      </c>
      <c r="G208" t="str">
        <f t="shared" si="10"/>
        <v>Normal</v>
      </c>
      <c r="H208">
        <v>2.9</v>
      </c>
      <c r="I208">
        <v>2.5299999999999998</v>
      </c>
      <c r="J208" s="1">
        <v>0.1</v>
      </c>
      <c r="K208" t="str">
        <f t="shared" si="11"/>
        <v>0-1 hours</v>
      </c>
      <c r="L208" t="s">
        <v>16</v>
      </c>
      <c r="M208">
        <v>8</v>
      </c>
      <c r="N208">
        <v>7</v>
      </c>
      <c r="O208">
        <v>3</v>
      </c>
      <c r="P208">
        <v>0</v>
      </c>
    </row>
    <row r="209" spans="1:16" x14ac:dyDescent="0.25">
      <c r="A209">
        <v>15</v>
      </c>
      <c r="B209" t="s">
        <v>11</v>
      </c>
      <c r="C209">
        <v>2.8</v>
      </c>
      <c r="D209" t="str">
        <f t="shared" si="9"/>
        <v>Medium</v>
      </c>
      <c r="E209" t="s">
        <v>12</v>
      </c>
      <c r="F209" s="1">
        <v>7.2</v>
      </c>
      <c r="G209" t="str">
        <f t="shared" si="10"/>
        <v>Low</v>
      </c>
      <c r="H209">
        <v>1.8</v>
      </c>
      <c r="I209">
        <v>2.91</v>
      </c>
      <c r="J209" s="1">
        <v>0.2</v>
      </c>
      <c r="K209" t="str">
        <f t="shared" si="11"/>
        <v>0-1 hours</v>
      </c>
      <c r="L209" t="s">
        <v>13</v>
      </c>
      <c r="M209">
        <v>5</v>
      </c>
      <c r="N209">
        <v>5</v>
      </c>
      <c r="O209">
        <v>4</v>
      </c>
      <c r="P209">
        <v>0</v>
      </c>
    </row>
    <row r="210" spans="1:16" x14ac:dyDescent="0.25">
      <c r="A210">
        <v>15</v>
      </c>
      <c r="B210" t="s">
        <v>11</v>
      </c>
      <c r="C210">
        <v>2.2000000000000002</v>
      </c>
      <c r="D210" t="str">
        <f t="shared" si="9"/>
        <v>Medium</v>
      </c>
      <c r="E210" t="s">
        <v>12</v>
      </c>
      <c r="F210" s="1">
        <v>5.2</v>
      </c>
      <c r="G210" t="str">
        <f t="shared" si="10"/>
        <v>Low</v>
      </c>
      <c r="H210">
        <v>1.4</v>
      </c>
      <c r="I210">
        <v>2.62</v>
      </c>
      <c r="J210" s="1">
        <v>1.5</v>
      </c>
      <c r="K210" t="str">
        <f t="shared" si="11"/>
        <v>1-2 hours</v>
      </c>
      <c r="L210" t="s">
        <v>17</v>
      </c>
      <c r="M210">
        <v>10</v>
      </c>
      <c r="N210">
        <v>7</v>
      </c>
      <c r="O210">
        <v>5</v>
      </c>
      <c r="P210">
        <v>0</v>
      </c>
    </row>
    <row r="211" spans="1:16" x14ac:dyDescent="0.25">
      <c r="A211">
        <v>16</v>
      </c>
      <c r="B211" t="s">
        <v>11</v>
      </c>
      <c r="C211">
        <v>4.8</v>
      </c>
      <c r="D211" t="str">
        <f t="shared" si="9"/>
        <v>Medium</v>
      </c>
      <c r="E211" t="s">
        <v>18</v>
      </c>
      <c r="F211" s="1">
        <v>6.8</v>
      </c>
      <c r="G211" t="str">
        <f t="shared" si="10"/>
        <v>Low</v>
      </c>
      <c r="H211">
        <v>1</v>
      </c>
      <c r="I211">
        <v>2.6</v>
      </c>
      <c r="J211" s="1">
        <v>1.1000000000000001</v>
      </c>
      <c r="K211" t="str">
        <f t="shared" si="11"/>
        <v>1-2 hours</v>
      </c>
      <c r="L211" t="s">
        <v>17</v>
      </c>
      <c r="M211">
        <v>1</v>
      </c>
      <c r="N211">
        <v>5</v>
      </c>
      <c r="O211">
        <v>6</v>
      </c>
      <c r="P211">
        <v>0</v>
      </c>
    </row>
    <row r="212" spans="1:16" x14ac:dyDescent="0.25">
      <c r="A212">
        <v>18</v>
      </c>
      <c r="B212" t="s">
        <v>14</v>
      </c>
      <c r="C212">
        <v>3.7</v>
      </c>
      <c r="D212" t="str">
        <f t="shared" si="9"/>
        <v>Medium</v>
      </c>
      <c r="E212" t="s">
        <v>18</v>
      </c>
      <c r="F212" s="1">
        <v>7.9</v>
      </c>
      <c r="G212" t="str">
        <f t="shared" si="10"/>
        <v>Low</v>
      </c>
      <c r="H212">
        <v>2.7</v>
      </c>
      <c r="I212">
        <v>3.11</v>
      </c>
      <c r="J212" s="1">
        <v>0.3</v>
      </c>
      <c r="K212" t="str">
        <f t="shared" si="11"/>
        <v>0-1 hours</v>
      </c>
      <c r="L212" t="s">
        <v>17</v>
      </c>
      <c r="M212">
        <v>6</v>
      </c>
      <c r="N212">
        <v>6</v>
      </c>
      <c r="O212">
        <v>5</v>
      </c>
      <c r="P212">
        <v>0</v>
      </c>
    </row>
    <row r="213" spans="1:16" x14ac:dyDescent="0.25">
      <c r="A213">
        <v>16</v>
      </c>
      <c r="B213" t="s">
        <v>11</v>
      </c>
      <c r="C213">
        <v>5.5</v>
      </c>
      <c r="D213" t="str">
        <f t="shared" si="9"/>
        <v>Medium</v>
      </c>
      <c r="E213" t="s">
        <v>12</v>
      </c>
      <c r="F213" s="1">
        <v>8.3000000000000007</v>
      </c>
      <c r="G213" t="str">
        <f t="shared" si="10"/>
        <v>Normal</v>
      </c>
      <c r="H213">
        <v>2.2999999999999998</v>
      </c>
      <c r="I213">
        <v>3.47</v>
      </c>
      <c r="J213" s="1">
        <v>1.6</v>
      </c>
      <c r="K213" t="str">
        <f t="shared" si="11"/>
        <v>1-2 hours</v>
      </c>
      <c r="L213" t="s">
        <v>17</v>
      </c>
      <c r="M213">
        <v>4</v>
      </c>
      <c r="N213">
        <v>8</v>
      </c>
      <c r="O213">
        <v>5</v>
      </c>
      <c r="P213">
        <v>0</v>
      </c>
    </row>
    <row r="214" spans="1:16" x14ac:dyDescent="0.25">
      <c r="A214">
        <v>16</v>
      </c>
      <c r="B214" t="s">
        <v>11</v>
      </c>
      <c r="C214">
        <v>2.5</v>
      </c>
      <c r="D214" t="str">
        <f t="shared" si="9"/>
        <v>Medium</v>
      </c>
      <c r="E214" t="s">
        <v>12</v>
      </c>
      <c r="F214" s="1">
        <v>6.8</v>
      </c>
      <c r="G214" t="str">
        <f t="shared" si="10"/>
        <v>Low</v>
      </c>
      <c r="H214">
        <v>1</v>
      </c>
      <c r="I214">
        <v>3.77</v>
      </c>
      <c r="J214" s="1">
        <v>1</v>
      </c>
      <c r="K214" t="str">
        <f t="shared" si="11"/>
        <v>0-1 hours</v>
      </c>
      <c r="L214" t="s">
        <v>16</v>
      </c>
      <c r="M214">
        <v>3</v>
      </c>
      <c r="N214">
        <v>9</v>
      </c>
      <c r="O214">
        <v>9</v>
      </c>
      <c r="P214">
        <v>0</v>
      </c>
    </row>
    <row r="215" spans="1:16" x14ac:dyDescent="0.25">
      <c r="A215">
        <v>18</v>
      </c>
      <c r="B215" t="s">
        <v>14</v>
      </c>
      <c r="C215">
        <v>1.9</v>
      </c>
      <c r="D215" t="str">
        <f t="shared" si="9"/>
        <v>Low</v>
      </c>
      <c r="E215" t="s">
        <v>15</v>
      </c>
      <c r="F215" s="1">
        <v>5.8</v>
      </c>
      <c r="G215" t="str">
        <f t="shared" si="10"/>
        <v>Low</v>
      </c>
      <c r="H215">
        <v>1.7</v>
      </c>
      <c r="I215">
        <v>3.52</v>
      </c>
      <c r="J215" s="1">
        <v>0.2</v>
      </c>
      <c r="K215" t="str">
        <f t="shared" si="11"/>
        <v>0-1 hours</v>
      </c>
      <c r="L215" t="s">
        <v>13</v>
      </c>
      <c r="M215">
        <v>6</v>
      </c>
      <c r="N215">
        <v>5</v>
      </c>
      <c r="O215">
        <v>1</v>
      </c>
      <c r="P215">
        <v>0</v>
      </c>
    </row>
    <row r="216" spans="1:16" x14ac:dyDescent="0.25">
      <c r="A216">
        <v>13</v>
      </c>
      <c r="B216" t="s">
        <v>11</v>
      </c>
      <c r="C216">
        <v>5.9</v>
      </c>
      <c r="D216" t="str">
        <f t="shared" si="9"/>
        <v>Medium</v>
      </c>
      <c r="E216" t="s">
        <v>12</v>
      </c>
      <c r="F216" s="1">
        <v>7.5</v>
      </c>
      <c r="G216" t="str">
        <f t="shared" si="10"/>
        <v>Low</v>
      </c>
      <c r="H216">
        <v>1.4</v>
      </c>
      <c r="I216">
        <v>2.58</v>
      </c>
      <c r="J216" s="1">
        <v>1.2</v>
      </c>
      <c r="K216" t="str">
        <f t="shared" si="11"/>
        <v>1-2 hours</v>
      </c>
      <c r="L216" t="s">
        <v>13</v>
      </c>
      <c r="M216">
        <v>6</v>
      </c>
      <c r="N216">
        <v>2</v>
      </c>
      <c r="O216">
        <v>8</v>
      </c>
      <c r="P216">
        <v>0</v>
      </c>
    </row>
    <row r="217" spans="1:16" x14ac:dyDescent="0.25">
      <c r="A217">
        <v>13</v>
      </c>
      <c r="B217" t="s">
        <v>14</v>
      </c>
      <c r="C217">
        <v>6.5</v>
      </c>
      <c r="D217" t="str">
        <f t="shared" si="9"/>
        <v>Medium</v>
      </c>
      <c r="E217" t="s">
        <v>15</v>
      </c>
      <c r="F217" s="1">
        <v>8.3000000000000007</v>
      </c>
      <c r="G217" t="str">
        <f t="shared" si="10"/>
        <v>Normal</v>
      </c>
      <c r="H217">
        <v>0.6</v>
      </c>
      <c r="I217">
        <v>3.05</v>
      </c>
      <c r="J217" s="1">
        <v>0.3</v>
      </c>
      <c r="K217" t="str">
        <f t="shared" si="11"/>
        <v>0-1 hours</v>
      </c>
      <c r="L217" t="s">
        <v>16</v>
      </c>
      <c r="M217">
        <v>2</v>
      </c>
      <c r="N217">
        <v>7</v>
      </c>
      <c r="O217">
        <v>8</v>
      </c>
      <c r="P217">
        <v>0</v>
      </c>
    </row>
    <row r="218" spans="1:16" x14ac:dyDescent="0.25">
      <c r="A218">
        <v>15</v>
      </c>
      <c r="B218" t="s">
        <v>11</v>
      </c>
      <c r="C218">
        <v>7.5</v>
      </c>
      <c r="D218" t="str">
        <f t="shared" si="9"/>
        <v>High</v>
      </c>
      <c r="E218" t="s">
        <v>12</v>
      </c>
      <c r="F218" s="1">
        <v>8.1</v>
      </c>
      <c r="G218" t="str">
        <f t="shared" si="10"/>
        <v>Normal</v>
      </c>
      <c r="H218">
        <v>2.5</v>
      </c>
      <c r="I218">
        <v>3.56</v>
      </c>
      <c r="J218" s="1">
        <v>1.2</v>
      </c>
      <c r="K218" t="str">
        <f t="shared" si="11"/>
        <v>1-2 hours</v>
      </c>
      <c r="L218" t="s">
        <v>17</v>
      </c>
      <c r="M218">
        <v>6</v>
      </c>
      <c r="N218">
        <v>8</v>
      </c>
      <c r="O218">
        <v>10</v>
      </c>
      <c r="P218">
        <v>0</v>
      </c>
    </row>
    <row r="219" spans="1:16" x14ac:dyDescent="0.25">
      <c r="A219">
        <v>19</v>
      </c>
      <c r="B219" t="s">
        <v>11</v>
      </c>
      <c r="C219">
        <v>4.9000000000000004</v>
      </c>
      <c r="D219" t="str">
        <f t="shared" si="9"/>
        <v>Medium</v>
      </c>
      <c r="E219" t="s">
        <v>15</v>
      </c>
      <c r="F219" s="1">
        <v>4.5</v>
      </c>
      <c r="G219" t="str">
        <f t="shared" si="10"/>
        <v>Low</v>
      </c>
      <c r="H219">
        <v>2.9</v>
      </c>
      <c r="I219">
        <v>3.88</v>
      </c>
      <c r="J219" s="1">
        <v>0.8</v>
      </c>
      <c r="K219" t="str">
        <f t="shared" si="11"/>
        <v>0-1 hours</v>
      </c>
      <c r="L219" t="s">
        <v>13</v>
      </c>
      <c r="M219">
        <v>5</v>
      </c>
      <c r="N219">
        <v>5</v>
      </c>
      <c r="O219">
        <v>6</v>
      </c>
      <c r="P219">
        <v>0</v>
      </c>
    </row>
    <row r="220" spans="1:16" x14ac:dyDescent="0.25">
      <c r="A220">
        <v>13</v>
      </c>
      <c r="B220" t="s">
        <v>11</v>
      </c>
      <c r="C220">
        <v>2.2000000000000002</v>
      </c>
      <c r="D220" t="str">
        <f t="shared" si="9"/>
        <v>Medium</v>
      </c>
      <c r="E220" t="s">
        <v>15</v>
      </c>
      <c r="F220" s="1">
        <v>5.3</v>
      </c>
      <c r="G220" t="str">
        <f t="shared" si="10"/>
        <v>Low</v>
      </c>
      <c r="H220">
        <v>1.4</v>
      </c>
      <c r="I220">
        <v>3.97</v>
      </c>
      <c r="J220" s="1">
        <v>0</v>
      </c>
      <c r="K220" t="str">
        <f t="shared" si="11"/>
        <v>No activity</v>
      </c>
      <c r="L220" t="s">
        <v>13</v>
      </c>
      <c r="M220">
        <v>1</v>
      </c>
      <c r="N220">
        <v>10</v>
      </c>
      <c r="O220">
        <v>7</v>
      </c>
      <c r="P220">
        <v>0</v>
      </c>
    </row>
    <row r="221" spans="1:16" x14ac:dyDescent="0.25">
      <c r="A221">
        <v>14</v>
      </c>
      <c r="B221" t="s">
        <v>11</v>
      </c>
      <c r="C221">
        <v>5.8</v>
      </c>
      <c r="D221" t="str">
        <f t="shared" si="9"/>
        <v>Medium</v>
      </c>
      <c r="E221" t="s">
        <v>18</v>
      </c>
      <c r="F221" s="1">
        <v>6.9</v>
      </c>
      <c r="G221" t="str">
        <f t="shared" si="10"/>
        <v>Low</v>
      </c>
      <c r="H221">
        <v>0.7</v>
      </c>
      <c r="I221">
        <v>3.01</v>
      </c>
      <c r="J221" s="1">
        <v>1.9</v>
      </c>
      <c r="K221" t="str">
        <f t="shared" si="11"/>
        <v>1-2 hours</v>
      </c>
      <c r="L221" t="s">
        <v>16</v>
      </c>
      <c r="M221">
        <v>9</v>
      </c>
      <c r="N221">
        <v>9</v>
      </c>
      <c r="O221">
        <v>4</v>
      </c>
      <c r="P221">
        <v>0</v>
      </c>
    </row>
    <row r="222" spans="1:16" x14ac:dyDescent="0.25">
      <c r="A222">
        <v>14</v>
      </c>
      <c r="B222" t="s">
        <v>11</v>
      </c>
      <c r="C222">
        <v>1.3</v>
      </c>
      <c r="D222" t="str">
        <f t="shared" si="9"/>
        <v>Low</v>
      </c>
      <c r="E222" t="s">
        <v>12</v>
      </c>
      <c r="F222" s="1">
        <v>8.5</v>
      </c>
      <c r="G222" t="str">
        <f t="shared" si="10"/>
        <v>Normal</v>
      </c>
      <c r="H222">
        <v>0.9</v>
      </c>
      <c r="I222">
        <v>3.71</v>
      </c>
      <c r="J222" s="1">
        <v>0.7</v>
      </c>
      <c r="K222" t="str">
        <f t="shared" si="11"/>
        <v>0-1 hours</v>
      </c>
      <c r="L222" t="s">
        <v>16</v>
      </c>
      <c r="M222">
        <v>3</v>
      </c>
      <c r="N222">
        <v>3</v>
      </c>
      <c r="O222">
        <v>6</v>
      </c>
      <c r="P222">
        <v>0</v>
      </c>
    </row>
    <row r="223" spans="1:16" x14ac:dyDescent="0.25">
      <c r="A223">
        <v>19</v>
      </c>
      <c r="B223" t="s">
        <v>14</v>
      </c>
      <c r="C223">
        <v>2.8</v>
      </c>
      <c r="D223" t="str">
        <f t="shared" si="9"/>
        <v>Medium</v>
      </c>
      <c r="E223" t="s">
        <v>15</v>
      </c>
      <c r="F223" s="1">
        <v>4.8</v>
      </c>
      <c r="G223" t="str">
        <f t="shared" si="10"/>
        <v>Low</v>
      </c>
      <c r="H223">
        <v>1.7</v>
      </c>
      <c r="I223">
        <v>2.8</v>
      </c>
      <c r="J223" s="1">
        <v>0.6</v>
      </c>
      <c r="K223" t="str">
        <f t="shared" si="11"/>
        <v>0-1 hours</v>
      </c>
      <c r="L223" t="s">
        <v>13</v>
      </c>
      <c r="M223">
        <v>5</v>
      </c>
      <c r="N223">
        <v>7</v>
      </c>
      <c r="O223">
        <v>4</v>
      </c>
      <c r="P223">
        <v>0</v>
      </c>
    </row>
    <row r="224" spans="1:16" x14ac:dyDescent="0.25">
      <c r="A224">
        <v>19</v>
      </c>
      <c r="B224" t="s">
        <v>14</v>
      </c>
      <c r="C224">
        <v>4</v>
      </c>
      <c r="D224" t="str">
        <f t="shared" si="9"/>
        <v>Medium</v>
      </c>
      <c r="E224" t="s">
        <v>15</v>
      </c>
      <c r="F224" s="1">
        <v>6.5</v>
      </c>
      <c r="G224" t="str">
        <f t="shared" si="10"/>
        <v>Low</v>
      </c>
      <c r="H224">
        <v>2.4</v>
      </c>
      <c r="I224">
        <v>3.67</v>
      </c>
      <c r="J224" s="1">
        <v>0.6</v>
      </c>
      <c r="K224" t="str">
        <f t="shared" si="11"/>
        <v>0-1 hours</v>
      </c>
      <c r="L224" t="s">
        <v>13</v>
      </c>
      <c r="M224">
        <v>4</v>
      </c>
      <c r="N224">
        <v>6</v>
      </c>
      <c r="O224">
        <v>4</v>
      </c>
      <c r="P224">
        <v>0</v>
      </c>
    </row>
    <row r="225" spans="1:16" x14ac:dyDescent="0.25">
      <c r="A225">
        <v>14</v>
      </c>
      <c r="B225" t="s">
        <v>14</v>
      </c>
      <c r="C225">
        <v>1.7</v>
      </c>
      <c r="D225" t="str">
        <f t="shared" si="9"/>
        <v>Low</v>
      </c>
      <c r="E225" t="s">
        <v>15</v>
      </c>
      <c r="F225" s="1">
        <v>4.9000000000000004</v>
      </c>
      <c r="G225" t="str">
        <f t="shared" si="10"/>
        <v>Low</v>
      </c>
      <c r="H225">
        <v>1.6</v>
      </c>
      <c r="I225">
        <v>2.36</v>
      </c>
      <c r="J225" s="1">
        <v>1.7</v>
      </c>
      <c r="K225" t="str">
        <f t="shared" si="11"/>
        <v>1-2 hours</v>
      </c>
      <c r="L225" t="s">
        <v>16</v>
      </c>
      <c r="M225">
        <v>3</v>
      </c>
      <c r="N225">
        <v>1</v>
      </c>
      <c r="O225">
        <v>6</v>
      </c>
      <c r="P225">
        <v>0</v>
      </c>
    </row>
    <row r="226" spans="1:16" x14ac:dyDescent="0.25">
      <c r="A226">
        <v>18</v>
      </c>
      <c r="B226" t="s">
        <v>14</v>
      </c>
      <c r="C226">
        <v>1.4</v>
      </c>
      <c r="D226" t="str">
        <f t="shared" si="9"/>
        <v>Low</v>
      </c>
      <c r="E226" t="s">
        <v>15</v>
      </c>
      <c r="F226" s="1">
        <v>6.1</v>
      </c>
      <c r="G226" t="str">
        <f t="shared" si="10"/>
        <v>Low</v>
      </c>
      <c r="H226">
        <v>1.6</v>
      </c>
      <c r="I226">
        <v>2.56</v>
      </c>
      <c r="J226" s="1">
        <v>1.2</v>
      </c>
      <c r="K226" t="str">
        <f t="shared" si="11"/>
        <v>1-2 hours</v>
      </c>
      <c r="L226" t="s">
        <v>16</v>
      </c>
      <c r="M226">
        <v>2</v>
      </c>
      <c r="N226">
        <v>7</v>
      </c>
      <c r="O226">
        <v>8</v>
      </c>
      <c r="P226">
        <v>0</v>
      </c>
    </row>
    <row r="227" spans="1:16" x14ac:dyDescent="0.25">
      <c r="A227">
        <v>19</v>
      </c>
      <c r="B227" t="s">
        <v>11</v>
      </c>
      <c r="C227">
        <v>2.2999999999999998</v>
      </c>
      <c r="D227" t="str">
        <f t="shared" si="9"/>
        <v>Medium</v>
      </c>
      <c r="E227" t="s">
        <v>15</v>
      </c>
      <c r="F227" s="1">
        <v>6.5</v>
      </c>
      <c r="G227" t="str">
        <f t="shared" si="10"/>
        <v>Low</v>
      </c>
      <c r="H227">
        <v>3</v>
      </c>
      <c r="I227">
        <v>3.5</v>
      </c>
      <c r="J227" s="1">
        <v>0.1</v>
      </c>
      <c r="K227" t="str">
        <f t="shared" si="11"/>
        <v>0-1 hours</v>
      </c>
      <c r="L227" t="s">
        <v>16</v>
      </c>
      <c r="M227">
        <v>9</v>
      </c>
      <c r="N227">
        <v>10</v>
      </c>
      <c r="O227">
        <v>8</v>
      </c>
      <c r="P227">
        <v>0</v>
      </c>
    </row>
    <row r="228" spans="1:16" x14ac:dyDescent="0.25">
      <c r="A228">
        <v>14</v>
      </c>
      <c r="B228" t="s">
        <v>11</v>
      </c>
      <c r="C228">
        <v>3.8</v>
      </c>
      <c r="D228" t="str">
        <f t="shared" si="9"/>
        <v>Medium</v>
      </c>
      <c r="E228" t="s">
        <v>12</v>
      </c>
      <c r="F228" s="1">
        <v>5.3</v>
      </c>
      <c r="G228" t="str">
        <f t="shared" si="10"/>
        <v>Low</v>
      </c>
      <c r="H228">
        <v>1</v>
      </c>
      <c r="I228">
        <v>2.2799999999999998</v>
      </c>
      <c r="J228" s="1">
        <v>1.2</v>
      </c>
      <c r="K228" t="str">
        <f t="shared" si="11"/>
        <v>1-2 hours</v>
      </c>
      <c r="L228" t="s">
        <v>13</v>
      </c>
      <c r="M228">
        <v>9</v>
      </c>
      <c r="N228">
        <v>3</v>
      </c>
      <c r="O228">
        <v>1</v>
      </c>
      <c r="P228">
        <v>0</v>
      </c>
    </row>
    <row r="229" spans="1:16" x14ac:dyDescent="0.25">
      <c r="A229">
        <v>13</v>
      </c>
      <c r="B229" t="s">
        <v>11</v>
      </c>
      <c r="C229">
        <v>6.4</v>
      </c>
      <c r="D229" t="str">
        <f t="shared" si="9"/>
        <v>Medium</v>
      </c>
      <c r="E229" t="s">
        <v>15</v>
      </c>
      <c r="F229" s="1">
        <v>5.0999999999999996</v>
      </c>
      <c r="G229" t="str">
        <f t="shared" si="10"/>
        <v>Low</v>
      </c>
      <c r="H229">
        <v>2.5</v>
      </c>
      <c r="I229">
        <v>2.62</v>
      </c>
      <c r="J229" s="1">
        <v>1.3</v>
      </c>
      <c r="K229" t="str">
        <f t="shared" si="11"/>
        <v>1-2 hours</v>
      </c>
      <c r="L229" t="s">
        <v>13</v>
      </c>
      <c r="M229">
        <v>5</v>
      </c>
      <c r="N229">
        <v>4</v>
      </c>
      <c r="O229">
        <v>7</v>
      </c>
      <c r="P229">
        <v>0</v>
      </c>
    </row>
    <row r="230" spans="1:16" x14ac:dyDescent="0.25">
      <c r="A230">
        <v>19</v>
      </c>
      <c r="B230" t="s">
        <v>11</v>
      </c>
      <c r="C230">
        <v>6</v>
      </c>
      <c r="D230" t="str">
        <f t="shared" si="9"/>
        <v>Medium</v>
      </c>
      <c r="E230" t="s">
        <v>18</v>
      </c>
      <c r="F230" s="1">
        <v>7.1</v>
      </c>
      <c r="G230" t="str">
        <f t="shared" si="10"/>
        <v>Low</v>
      </c>
      <c r="H230">
        <v>0.9</v>
      </c>
      <c r="I230">
        <v>2.98</v>
      </c>
      <c r="J230" s="1">
        <v>0.1</v>
      </c>
      <c r="K230" t="str">
        <f t="shared" si="11"/>
        <v>0-1 hours</v>
      </c>
      <c r="L230" t="s">
        <v>13</v>
      </c>
      <c r="M230">
        <v>1</v>
      </c>
      <c r="N230">
        <v>6</v>
      </c>
      <c r="O230">
        <v>5</v>
      </c>
      <c r="P230">
        <v>0</v>
      </c>
    </row>
    <row r="231" spans="1:16" x14ac:dyDescent="0.25">
      <c r="A231">
        <v>16</v>
      </c>
      <c r="B231" t="s">
        <v>11</v>
      </c>
      <c r="C231">
        <v>1.9</v>
      </c>
      <c r="D231" t="str">
        <f t="shared" si="9"/>
        <v>Low</v>
      </c>
      <c r="E231" t="s">
        <v>12</v>
      </c>
      <c r="F231" s="1">
        <v>7.8</v>
      </c>
      <c r="G231" t="str">
        <f t="shared" si="10"/>
        <v>Low</v>
      </c>
      <c r="H231">
        <v>2.1</v>
      </c>
      <c r="I231">
        <v>2.2599999999999998</v>
      </c>
      <c r="J231" s="1">
        <v>0.3</v>
      </c>
      <c r="K231" t="str">
        <f t="shared" si="11"/>
        <v>0-1 hours</v>
      </c>
      <c r="L231" t="s">
        <v>16</v>
      </c>
      <c r="M231">
        <v>7</v>
      </c>
      <c r="N231">
        <v>7</v>
      </c>
      <c r="O231">
        <v>5</v>
      </c>
      <c r="P231">
        <v>0</v>
      </c>
    </row>
    <row r="232" spans="1:16" x14ac:dyDescent="0.25">
      <c r="A232">
        <v>17</v>
      </c>
      <c r="B232" t="s">
        <v>11</v>
      </c>
      <c r="C232">
        <v>2.4</v>
      </c>
      <c r="D232" t="str">
        <f t="shared" si="9"/>
        <v>Medium</v>
      </c>
      <c r="E232" t="s">
        <v>15</v>
      </c>
      <c r="F232" s="1">
        <v>8.5</v>
      </c>
      <c r="G232" t="str">
        <f t="shared" si="10"/>
        <v>Normal</v>
      </c>
      <c r="H232">
        <v>2.4</v>
      </c>
      <c r="I232">
        <v>2.79</v>
      </c>
      <c r="J232" s="1">
        <v>1.1000000000000001</v>
      </c>
      <c r="K232" t="str">
        <f t="shared" si="11"/>
        <v>1-2 hours</v>
      </c>
      <c r="L232" t="s">
        <v>13</v>
      </c>
      <c r="M232">
        <v>1</v>
      </c>
      <c r="N232">
        <v>6</v>
      </c>
      <c r="O232">
        <v>7</v>
      </c>
      <c r="P232">
        <v>0</v>
      </c>
    </row>
    <row r="233" spans="1:16" x14ac:dyDescent="0.25">
      <c r="A233">
        <v>14</v>
      </c>
      <c r="B233" t="s">
        <v>14</v>
      </c>
      <c r="C233">
        <v>2.7</v>
      </c>
      <c r="D233" t="str">
        <f t="shared" si="9"/>
        <v>Medium</v>
      </c>
      <c r="E233" t="s">
        <v>12</v>
      </c>
      <c r="F233" s="1">
        <v>5.0999999999999996</v>
      </c>
      <c r="G233" t="str">
        <f t="shared" si="10"/>
        <v>Low</v>
      </c>
      <c r="H233">
        <v>2.4</v>
      </c>
      <c r="I233">
        <v>2.17</v>
      </c>
      <c r="J233" s="1">
        <v>1.8</v>
      </c>
      <c r="K233" t="str">
        <f t="shared" si="11"/>
        <v>1-2 hours</v>
      </c>
      <c r="L233" t="s">
        <v>16</v>
      </c>
      <c r="M233">
        <v>3</v>
      </c>
      <c r="N233">
        <v>10</v>
      </c>
      <c r="O233">
        <v>8</v>
      </c>
      <c r="P233">
        <v>0</v>
      </c>
    </row>
    <row r="234" spans="1:16" x14ac:dyDescent="0.25">
      <c r="A234">
        <v>14</v>
      </c>
      <c r="B234" t="s">
        <v>11</v>
      </c>
      <c r="C234">
        <v>1.5</v>
      </c>
      <c r="D234" t="str">
        <f t="shared" si="9"/>
        <v>Low</v>
      </c>
      <c r="E234" t="s">
        <v>18</v>
      </c>
      <c r="F234" s="1">
        <v>7.2</v>
      </c>
      <c r="G234" t="str">
        <f t="shared" si="10"/>
        <v>Low</v>
      </c>
      <c r="H234">
        <v>1.7</v>
      </c>
      <c r="I234">
        <v>2.76</v>
      </c>
      <c r="J234" s="1">
        <v>0</v>
      </c>
      <c r="K234" t="str">
        <f t="shared" si="11"/>
        <v>No activity</v>
      </c>
      <c r="L234" t="s">
        <v>13</v>
      </c>
      <c r="M234">
        <v>10</v>
      </c>
      <c r="N234">
        <v>7</v>
      </c>
      <c r="O234">
        <v>10</v>
      </c>
      <c r="P234">
        <v>0</v>
      </c>
    </row>
    <row r="235" spans="1:16" x14ac:dyDescent="0.25">
      <c r="A235">
        <v>18</v>
      </c>
      <c r="B235" t="s">
        <v>11</v>
      </c>
      <c r="C235">
        <v>7.7</v>
      </c>
      <c r="D235" t="str">
        <f t="shared" si="9"/>
        <v>High</v>
      </c>
      <c r="E235" t="s">
        <v>12</v>
      </c>
      <c r="F235" s="1">
        <v>7.3</v>
      </c>
      <c r="G235" t="str">
        <f t="shared" si="10"/>
        <v>Low</v>
      </c>
      <c r="H235">
        <v>1.8</v>
      </c>
      <c r="I235">
        <v>3.13</v>
      </c>
      <c r="J235" s="1">
        <v>2</v>
      </c>
      <c r="K235" t="str">
        <f t="shared" si="11"/>
        <v>1-2 hours</v>
      </c>
      <c r="L235" t="s">
        <v>17</v>
      </c>
      <c r="M235">
        <v>7</v>
      </c>
      <c r="N235">
        <v>9</v>
      </c>
      <c r="O235">
        <v>7</v>
      </c>
      <c r="P235">
        <v>0</v>
      </c>
    </row>
    <row r="236" spans="1:16" x14ac:dyDescent="0.25">
      <c r="A236">
        <v>13</v>
      </c>
      <c r="B236" t="s">
        <v>11</v>
      </c>
      <c r="C236">
        <v>2.9</v>
      </c>
      <c r="D236" t="str">
        <f t="shared" si="9"/>
        <v>Medium</v>
      </c>
      <c r="E236" t="s">
        <v>15</v>
      </c>
      <c r="F236" s="1">
        <v>5.0999999999999996</v>
      </c>
      <c r="G236" t="str">
        <f t="shared" si="10"/>
        <v>Low</v>
      </c>
      <c r="H236">
        <v>2.2000000000000002</v>
      </c>
      <c r="I236">
        <v>3.81</v>
      </c>
      <c r="J236" s="1">
        <v>0.7</v>
      </c>
      <c r="K236" t="str">
        <f t="shared" si="11"/>
        <v>0-1 hours</v>
      </c>
      <c r="L236" t="s">
        <v>13</v>
      </c>
      <c r="M236">
        <v>6</v>
      </c>
      <c r="N236">
        <v>6</v>
      </c>
      <c r="O236">
        <v>10</v>
      </c>
      <c r="P236">
        <v>0</v>
      </c>
    </row>
    <row r="237" spans="1:16" x14ac:dyDescent="0.25">
      <c r="A237">
        <v>16</v>
      </c>
      <c r="B237" t="s">
        <v>11</v>
      </c>
      <c r="C237">
        <v>7.6</v>
      </c>
      <c r="D237" t="str">
        <f t="shared" si="9"/>
        <v>High</v>
      </c>
      <c r="E237" t="s">
        <v>15</v>
      </c>
      <c r="F237" s="1">
        <v>4.3</v>
      </c>
      <c r="G237" t="str">
        <f t="shared" si="10"/>
        <v>Low</v>
      </c>
      <c r="H237">
        <v>2.7</v>
      </c>
      <c r="I237">
        <v>2.5099999999999998</v>
      </c>
      <c r="J237" s="1">
        <v>0.3</v>
      </c>
      <c r="K237" t="str">
        <f t="shared" si="11"/>
        <v>0-1 hours</v>
      </c>
      <c r="L237" t="s">
        <v>17</v>
      </c>
      <c r="M237">
        <v>3</v>
      </c>
      <c r="N237">
        <v>9</v>
      </c>
      <c r="O237">
        <v>10</v>
      </c>
      <c r="P237">
        <v>0</v>
      </c>
    </row>
    <row r="238" spans="1:16" x14ac:dyDescent="0.25">
      <c r="A238">
        <v>18</v>
      </c>
      <c r="B238" t="s">
        <v>11</v>
      </c>
      <c r="C238">
        <v>5.7</v>
      </c>
      <c r="D238" t="str">
        <f t="shared" si="9"/>
        <v>Medium</v>
      </c>
      <c r="E238" t="s">
        <v>18</v>
      </c>
      <c r="F238" s="1">
        <v>8.4</v>
      </c>
      <c r="G238" t="str">
        <f t="shared" si="10"/>
        <v>Normal</v>
      </c>
      <c r="H238">
        <v>2.4</v>
      </c>
      <c r="I238">
        <v>2.84</v>
      </c>
      <c r="J238" s="1">
        <v>0.7</v>
      </c>
      <c r="K238" t="str">
        <f t="shared" si="11"/>
        <v>0-1 hours</v>
      </c>
      <c r="L238" t="s">
        <v>13</v>
      </c>
      <c r="M238">
        <v>5</v>
      </c>
      <c r="N238">
        <v>4</v>
      </c>
      <c r="O238">
        <v>9</v>
      </c>
      <c r="P238">
        <v>0</v>
      </c>
    </row>
    <row r="239" spans="1:16" x14ac:dyDescent="0.25">
      <c r="A239">
        <v>19</v>
      </c>
      <c r="B239" t="s">
        <v>11</v>
      </c>
      <c r="C239">
        <v>1.2</v>
      </c>
      <c r="D239" t="str">
        <f t="shared" si="9"/>
        <v>Low</v>
      </c>
      <c r="E239" t="s">
        <v>15</v>
      </c>
      <c r="F239" s="1">
        <v>5</v>
      </c>
      <c r="G239" t="str">
        <f t="shared" si="10"/>
        <v>Low</v>
      </c>
      <c r="H239">
        <v>1.5</v>
      </c>
      <c r="I239">
        <v>2.09</v>
      </c>
      <c r="J239" s="1">
        <v>0.6</v>
      </c>
      <c r="K239" t="str">
        <f t="shared" si="11"/>
        <v>0-1 hours</v>
      </c>
      <c r="L239" t="s">
        <v>17</v>
      </c>
      <c r="M239">
        <v>5</v>
      </c>
      <c r="N239">
        <v>2</v>
      </c>
      <c r="O239">
        <v>1</v>
      </c>
      <c r="P239">
        <v>0</v>
      </c>
    </row>
    <row r="240" spans="1:16" x14ac:dyDescent="0.25">
      <c r="A240">
        <v>16</v>
      </c>
      <c r="B240" t="s">
        <v>14</v>
      </c>
      <c r="C240">
        <v>2.4</v>
      </c>
      <c r="D240" t="str">
        <f t="shared" si="9"/>
        <v>Medium</v>
      </c>
      <c r="E240" t="s">
        <v>18</v>
      </c>
      <c r="F240" s="1">
        <v>6.2</v>
      </c>
      <c r="G240" t="str">
        <f t="shared" si="10"/>
        <v>Low</v>
      </c>
      <c r="H240">
        <v>1.6</v>
      </c>
      <c r="I240">
        <v>2.38</v>
      </c>
      <c r="J240" s="1">
        <v>0</v>
      </c>
      <c r="K240" t="str">
        <f t="shared" si="11"/>
        <v>No activity</v>
      </c>
      <c r="L240" t="s">
        <v>17</v>
      </c>
      <c r="M240">
        <v>8</v>
      </c>
      <c r="N240">
        <v>4</v>
      </c>
      <c r="O240">
        <v>10</v>
      </c>
      <c r="P240">
        <v>0</v>
      </c>
    </row>
    <row r="241" spans="1:16" x14ac:dyDescent="0.25">
      <c r="A241">
        <v>17</v>
      </c>
      <c r="B241" t="s">
        <v>14</v>
      </c>
      <c r="C241">
        <v>6.2</v>
      </c>
      <c r="D241" t="str">
        <f t="shared" si="9"/>
        <v>Medium</v>
      </c>
      <c r="E241" t="s">
        <v>18</v>
      </c>
      <c r="F241" s="1">
        <v>5.0999999999999996</v>
      </c>
      <c r="G241" t="str">
        <f t="shared" si="10"/>
        <v>Low</v>
      </c>
      <c r="H241">
        <v>2</v>
      </c>
      <c r="I241">
        <v>3.82</v>
      </c>
      <c r="J241" s="1">
        <v>1.7</v>
      </c>
      <c r="K241" t="str">
        <f t="shared" si="11"/>
        <v>1-2 hours</v>
      </c>
      <c r="L241" t="s">
        <v>17</v>
      </c>
      <c r="M241">
        <v>7</v>
      </c>
      <c r="N241">
        <v>3</v>
      </c>
      <c r="O241">
        <v>5</v>
      </c>
      <c r="P241">
        <v>0</v>
      </c>
    </row>
    <row r="242" spans="1:16" x14ac:dyDescent="0.25">
      <c r="A242">
        <v>14</v>
      </c>
      <c r="B242" t="s">
        <v>14</v>
      </c>
      <c r="C242">
        <v>4.7</v>
      </c>
      <c r="D242" t="str">
        <f t="shared" si="9"/>
        <v>Medium</v>
      </c>
      <c r="E242" t="s">
        <v>12</v>
      </c>
      <c r="F242" s="1">
        <v>5.0999999999999996</v>
      </c>
      <c r="G242" t="str">
        <f t="shared" si="10"/>
        <v>Low</v>
      </c>
      <c r="H242">
        <v>2.2000000000000002</v>
      </c>
      <c r="I242">
        <v>2.0299999999999998</v>
      </c>
      <c r="J242" s="1">
        <v>1.1000000000000001</v>
      </c>
      <c r="K242" t="str">
        <f t="shared" si="11"/>
        <v>1-2 hours</v>
      </c>
      <c r="L242" t="s">
        <v>17</v>
      </c>
      <c r="M242">
        <v>2</v>
      </c>
      <c r="N242">
        <v>10</v>
      </c>
      <c r="O242">
        <v>7</v>
      </c>
      <c r="P242">
        <v>0</v>
      </c>
    </row>
    <row r="243" spans="1:16" x14ac:dyDescent="0.25">
      <c r="A243">
        <v>19</v>
      </c>
      <c r="B243" t="s">
        <v>11</v>
      </c>
      <c r="C243">
        <v>5.3</v>
      </c>
      <c r="D243" t="str">
        <f t="shared" si="9"/>
        <v>Medium</v>
      </c>
      <c r="E243" t="s">
        <v>12</v>
      </c>
      <c r="F243" s="1">
        <v>6.7</v>
      </c>
      <c r="G243" t="str">
        <f t="shared" si="10"/>
        <v>Low</v>
      </c>
      <c r="H243">
        <v>0.7</v>
      </c>
      <c r="I243">
        <v>3.59</v>
      </c>
      <c r="J243" s="1">
        <v>1.8</v>
      </c>
      <c r="K243" t="str">
        <f t="shared" si="11"/>
        <v>1-2 hours</v>
      </c>
      <c r="L243" t="s">
        <v>16</v>
      </c>
      <c r="M243">
        <v>4</v>
      </c>
      <c r="N243">
        <v>8</v>
      </c>
      <c r="O243">
        <v>8</v>
      </c>
      <c r="P243">
        <v>0</v>
      </c>
    </row>
    <row r="244" spans="1:16" x14ac:dyDescent="0.25">
      <c r="A244">
        <v>19</v>
      </c>
      <c r="B244" t="s">
        <v>14</v>
      </c>
      <c r="C244">
        <v>6</v>
      </c>
      <c r="D244" t="str">
        <f t="shared" si="9"/>
        <v>Medium</v>
      </c>
      <c r="E244" t="s">
        <v>15</v>
      </c>
      <c r="F244" s="1">
        <v>6</v>
      </c>
      <c r="G244" t="str">
        <f t="shared" si="10"/>
        <v>Low</v>
      </c>
      <c r="H244">
        <v>0.7</v>
      </c>
      <c r="I244">
        <v>3.29</v>
      </c>
      <c r="J244" s="1">
        <v>1.4</v>
      </c>
      <c r="K244" t="str">
        <f t="shared" si="11"/>
        <v>1-2 hours</v>
      </c>
      <c r="L244" t="s">
        <v>13</v>
      </c>
      <c r="M244">
        <v>4</v>
      </c>
      <c r="N244">
        <v>5</v>
      </c>
      <c r="O244">
        <v>1</v>
      </c>
      <c r="P244">
        <v>0</v>
      </c>
    </row>
    <row r="245" spans="1:16" x14ac:dyDescent="0.25">
      <c r="A245">
        <v>16</v>
      </c>
      <c r="B245" t="s">
        <v>14</v>
      </c>
      <c r="C245">
        <v>7.8</v>
      </c>
      <c r="D245" t="str">
        <f t="shared" si="9"/>
        <v>High</v>
      </c>
      <c r="E245" t="s">
        <v>15</v>
      </c>
      <c r="F245" s="1">
        <v>4.7</v>
      </c>
      <c r="G245" t="str">
        <f t="shared" si="10"/>
        <v>Low</v>
      </c>
      <c r="H245">
        <v>2.1</v>
      </c>
      <c r="I245">
        <v>2.48</v>
      </c>
      <c r="J245" s="1">
        <v>2</v>
      </c>
      <c r="K245" t="str">
        <f t="shared" si="11"/>
        <v>1-2 hours</v>
      </c>
      <c r="L245" t="s">
        <v>13</v>
      </c>
      <c r="M245">
        <v>8</v>
      </c>
      <c r="N245">
        <v>3</v>
      </c>
      <c r="O245">
        <v>1</v>
      </c>
      <c r="P245">
        <v>0</v>
      </c>
    </row>
    <row r="246" spans="1:16" x14ac:dyDescent="0.25">
      <c r="A246">
        <v>14</v>
      </c>
      <c r="B246" t="s">
        <v>14</v>
      </c>
      <c r="C246">
        <v>4.4000000000000004</v>
      </c>
      <c r="D246" t="str">
        <f t="shared" si="9"/>
        <v>Medium</v>
      </c>
      <c r="E246" t="s">
        <v>18</v>
      </c>
      <c r="F246" s="1">
        <v>4.2</v>
      </c>
      <c r="G246" t="str">
        <f t="shared" si="10"/>
        <v>Low</v>
      </c>
      <c r="H246">
        <v>2.6</v>
      </c>
      <c r="I246">
        <v>2.2799999999999998</v>
      </c>
      <c r="J246" s="1">
        <v>1.3</v>
      </c>
      <c r="K246" t="str">
        <f t="shared" si="11"/>
        <v>1-2 hours</v>
      </c>
      <c r="L246" t="s">
        <v>17</v>
      </c>
      <c r="M246">
        <v>8</v>
      </c>
      <c r="N246">
        <v>10</v>
      </c>
      <c r="O246">
        <v>4</v>
      </c>
      <c r="P246">
        <v>0</v>
      </c>
    </row>
    <row r="247" spans="1:16" x14ac:dyDescent="0.25">
      <c r="A247">
        <v>17</v>
      </c>
      <c r="B247" t="s">
        <v>11</v>
      </c>
      <c r="C247">
        <v>6.7</v>
      </c>
      <c r="D247" t="str">
        <f t="shared" si="9"/>
        <v>Medium</v>
      </c>
      <c r="E247" t="s">
        <v>12</v>
      </c>
      <c r="F247" s="1">
        <v>7.6</v>
      </c>
      <c r="G247" t="str">
        <f t="shared" si="10"/>
        <v>Low</v>
      </c>
      <c r="H247">
        <v>2.4</v>
      </c>
      <c r="I247">
        <v>3.59</v>
      </c>
      <c r="J247" s="1">
        <v>0.4</v>
      </c>
      <c r="K247" t="str">
        <f t="shared" si="11"/>
        <v>0-1 hours</v>
      </c>
      <c r="L247" t="s">
        <v>17</v>
      </c>
      <c r="M247">
        <v>9</v>
      </c>
      <c r="N247">
        <v>5</v>
      </c>
      <c r="O247">
        <v>5</v>
      </c>
      <c r="P247">
        <v>0</v>
      </c>
    </row>
    <row r="248" spans="1:16" x14ac:dyDescent="0.25">
      <c r="A248">
        <v>13</v>
      </c>
      <c r="B248" t="s">
        <v>14</v>
      </c>
      <c r="C248">
        <v>7.2</v>
      </c>
      <c r="D248" t="str">
        <f t="shared" si="9"/>
        <v>High</v>
      </c>
      <c r="E248" t="s">
        <v>15</v>
      </c>
      <c r="F248" s="1">
        <v>7.4</v>
      </c>
      <c r="G248" t="str">
        <f t="shared" si="10"/>
        <v>Low</v>
      </c>
      <c r="H248">
        <v>2.2000000000000002</v>
      </c>
      <c r="I248">
        <v>3.42</v>
      </c>
      <c r="J248" s="1">
        <v>0.1</v>
      </c>
      <c r="K248" t="str">
        <f t="shared" si="11"/>
        <v>0-1 hours</v>
      </c>
      <c r="L248" t="s">
        <v>13</v>
      </c>
      <c r="M248">
        <v>8</v>
      </c>
      <c r="N248">
        <v>9</v>
      </c>
      <c r="O248">
        <v>6</v>
      </c>
      <c r="P248">
        <v>0</v>
      </c>
    </row>
    <row r="249" spans="1:16" x14ac:dyDescent="0.25">
      <c r="A249">
        <v>18</v>
      </c>
      <c r="B249" t="s">
        <v>11</v>
      </c>
      <c r="C249">
        <v>6.1</v>
      </c>
      <c r="D249" t="str">
        <f t="shared" si="9"/>
        <v>Medium</v>
      </c>
      <c r="E249" t="s">
        <v>18</v>
      </c>
      <c r="F249" s="1">
        <v>4.4000000000000004</v>
      </c>
      <c r="G249" t="str">
        <f t="shared" si="10"/>
        <v>Low</v>
      </c>
      <c r="H249">
        <v>2.1</v>
      </c>
      <c r="I249">
        <v>2.23</v>
      </c>
      <c r="J249" s="1">
        <v>1</v>
      </c>
      <c r="K249" t="str">
        <f t="shared" si="11"/>
        <v>0-1 hours</v>
      </c>
      <c r="L249" t="s">
        <v>13</v>
      </c>
      <c r="M249">
        <v>8</v>
      </c>
      <c r="N249">
        <v>2</v>
      </c>
      <c r="O249">
        <v>5</v>
      </c>
      <c r="P249">
        <v>0</v>
      </c>
    </row>
    <row r="250" spans="1:16" x14ac:dyDescent="0.25">
      <c r="A250">
        <v>16</v>
      </c>
      <c r="B250" t="s">
        <v>11</v>
      </c>
      <c r="C250">
        <v>5.4</v>
      </c>
      <c r="D250" t="str">
        <f t="shared" si="9"/>
        <v>Medium</v>
      </c>
      <c r="E250" t="s">
        <v>15</v>
      </c>
      <c r="F250" s="1">
        <v>8.6999999999999993</v>
      </c>
      <c r="G250" t="str">
        <f t="shared" si="10"/>
        <v>Normal</v>
      </c>
      <c r="H250">
        <v>1.9</v>
      </c>
      <c r="I250">
        <v>2.67</v>
      </c>
      <c r="J250" s="1">
        <v>1.3</v>
      </c>
      <c r="K250" t="str">
        <f t="shared" si="11"/>
        <v>1-2 hours</v>
      </c>
      <c r="L250" t="s">
        <v>13</v>
      </c>
      <c r="M250">
        <v>1</v>
      </c>
      <c r="N250">
        <v>5</v>
      </c>
      <c r="O250">
        <v>7</v>
      </c>
      <c r="P250">
        <v>0</v>
      </c>
    </row>
    <row r="251" spans="1:16" x14ac:dyDescent="0.25">
      <c r="A251">
        <v>19</v>
      </c>
      <c r="B251" t="s">
        <v>11</v>
      </c>
      <c r="C251">
        <v>2.7</v>
      </c>
      <c r="D251" t="str">
        <f t="shared" si="9"/>
        <v>Medium</v>
      </c>
      <c r="E251" t="s">
        <v>18</v>
      </c>
      <c r="F251" s="1">
        <v>7.7</v>
      </c>
      <c r="G251" t="str">
        <f t="shared" si="10"/>
        <v>Low</v>
      </c>
      <c r="H251">
        <v>0.7</v>
      </c>
      <c r="I251">
        <v>2.2200000000000002</v>
      </c>
      <c r="J251" s="1">
        <v>0.4</v>
      </c>
      <c r="K251" t="str">
        <f t="shared" si="11"/>
        <v>0-1 hours</v>
      </c>
      <c r="L251" t="s">
        <v>17</v>
      </c>
      <c r="M251">
        <v>10</v>
      </c>
      <c r="N251">
        <v>8</v>
      </c>
      <c r="O251">
        <v>7</v>
      </c>
      <c r="P251">
        <v>0</v>
      </c>
    </row>
    <row r="252" spans="1:16" x14ac:dyDescent="0.25">
      <c r="A252">
        <v>13</v>
      </c>
      <c r="B252" t="s">
        <v>14</v>
      </c>
      <c r="C252">
        <v>7.9</v>
      </c>
      <c r="D252" t="str">
        <f t="shared" si="9"/>
        <v>High</v>
      </c>
      <c r="E252" t="s">
        <v>12</v>
      </c>
      <c r="F252" s="1">
        <v>7.2</v>
      </c>
      <c r="G252" t="str">
        <f t="shared" si="10"/>
        <v>Low</v>
      </c>
      <c r="H252">
        <v>1.5</v>
      </c>
      <c r="I252">
        <v>2.36</v>
      </c>
      <c r="J252" s="1">
        <v>0.2</v>
      </c>
      <c r="K252" t="str">
        <f t="shared" si="11"/>
        <v>0-1 hours</v>
      </c>
      <c r="L252" t="s">
        <v>17</v>
      </c>
      <c r="M252">
        <v>2</v>
      </c>
      <c r="N252">
        <v>6</v>
      </c>
      <c r="O252">
        <v>8</v>
      </c>
      <c r="P252">
        <v>0</v>
      </c>
    </row>
    <row r="253" spans="1:16" x14ac:dyDescent="0.25">
      <c r="A253">
        <v>13</v>
      </c>
      <c r="B253" t="s">
        <v>11</v>
      </c>
      <c r="C253">
        <v>4.5999999999999996</v>
      </c>
      <c r="D253" t="str">
        <f t="shared" si="9"/>
        <v>Medium</v>
      </c>
      <c r="E253" t="s">
        <v>15</v>
      </c>
      <c r="F253" s="1">
        <v>7.3</v>
      </c>
      <c r="G253" t="str">
        <f t="shared" si="10"/>
        <v>Low</v>
      </c>
      <c r="H253">
        <v>1.6</v>
      </c>
      <c r="I253">
        <v>2.91</v>
      </c>
      <c r="J253" s="1">
        <v>0.4</v>
      </c>
      <c r="K253" t="str">
        <f t="shared" si="11"/>
        <v>0-1 hours</v>
      </c>
      <c r="L253" t="s">
        <v>13</v>
      </c>
      <c r="M253">
        <v>10</v>
      </c>
      <c r="N253">
        <v>5</v>
      </c>
      <c r="O253">
        <v>7</v>
      </c>
      <c r="P253">
        <v>0</v>
      </c>
    </row>
    <row r="254" spans="1:16" x14ac:dyDescent="0.25">
      <c r="A254">
        <v>13</v>
      </c>
      <c r="B254" t="s">
        <v>11</v>
      </c>
      <c r="C254">
        <v>5.6</v>
      </c>
      <c r="D254" t="str">
        <f t="shared" si="9"/>
        <v>Medium</v>
      </c>
      <c r="E254" t="s">
        <v>12</v>
      </c>
      <c r="F254" s="1">
        <v>4.5999999999999996</v>
      </c>
      <c r="G254" t="str">
        <f t="shared" si="10"/>
        <v>Low</v>
      </c>
      <c r="H254">
        <v>1.9</v>
      </c>
      <c r="I254">
        <v>2.54</v>
      </c>
      <c r="J254" s="1">
        <v>0.1</v>
      </c>
      <c r="K254" t="str">
        <f t="shared" si="11"/>
        <v>0-1 hours</v>
      </c>
      <c r="L254" t="s">
        <v>13</v>
      </c>
      <c r="M254">
        <v>5</v>
      </c>
      <c r="N254">
        <v>5</v>
      </c>
      <c r="O254">
        <v>6</v>
      </c>
      <c r="P254">
        <v>0</v>
      </c>
    </row>
    <row r="255" spans="1:16" x14ac:dyDescent="0.25">
      <c r="A255">
        <v>17</v>
      </c>
      <c r="B255" t="s">
        <v>14</v>
      </c>
      <c r="C255">
        <v>6.5</v>
      </c>
      <c r="D255" t="str">
        <f t="shared" si="9"/>
        <v>Medium</v>
      </c>
      <c r="E255" t="s">
        <v>15</v>
      </c>
      <c r="F255" s="1">
        <v>6.4</v>
      </c>
      <c r="G255" t="str">
        <f t="shared" si="10"/>
        <v>Low</v>
      </c>
      <c r="H255">
        <v>0.7</v>
      </c>
      <c r="I255">
        <v>3.57</v>
      </c>
      <c r="J255" s="1">
        <v>1.1000000000000001</v>
      </c>
      <c r="K255" t="str">
        <f t="shared" si="11"/>
        <v>1-2 hours</v>
      </c>
      <c r="L255" t="s">
        <v>13</v>
      </c>
      <c r="M255">
        <v>2</v>
      </c>
      <c r="N255">
        <v>9</v>
      </c>
      <c r="O255">
        <v>6</v>
      </c>
      <c r="P255">
        <v>0</v>
      </c>
    </row>
    <row r="256" spans="1:16" x14ac:dyDescent="0.25">
      <c r="A256">
        <v>19</v>
      </c>
      <c r="B256" t="s">
        <v>11</v>
      </c>
      <c r="C256">
        <v>5.9</v>
      </c>
      <c r="D256" t="str">
        <f t="shared" si="9"/>
        <v>Medium</v>
      </c>
      <c r="E256" t="s">
        <v>18</v>
      </c>
      <c r="F256" s="1">
        <v>7.2</v>
      </c>
      <c r="G256" t="str">
        <f t="shared" si="10"/>
        <v>Low</v>
      </c>
      <c r="H256">
        <v>0.9</v>
      </c>
      <c r="I256">
        <v>3.99</v>
      </c>
      <c r="J256" s="1">
        <v>1.7</v>
      </c>
      <c r="K256" t="str">
        <f t="shared" si="11"/>
        <v>1-2 hours</v>
      </c>
      <c r="L256" t="s">
        <v>13</v>
      </c>
      <c r="M256">
        <v>7</v>
      </c>
      <c r="N256">
        <v>9</v>
      </c>
      <c r="O256">
        <v>3</v>
      </c>
      <c r="P256">
        <v>0</v>
      </c>
    </row>
    <row r="257" spans="1:16" x14ac:dyDescent="0.25">
      <c r="A257">
        <v>19</v>
      </c>
      <c r="B257" t="s">
        <v>14</v>
      </c>
      <c r="C257">
        <v>1.1000000000000001</v>
      </c>
      <c r="D257" t="str">
        <f t="shared" si="9"/>
        <v>Low</v>
      </c>
      <c r="E257" t="s">
        <v>15</v>
      </c>
      <c r="F257" s="1">
        <v>5.0999999999999996</v>
      </c>
      <c r="G257" t="str">
        <f t="shared" si="10"/>
        <v>Low</v>
      </c>
      <c r="H257">
        <v>2.2000000000000002</v>
      </c>
      <c r="I257">
        <v>2.13</v>
      </c>
      <c r="J257" s="1">
        <v>0.9</v>
      </c>
      <c r="K257" t="str">
        <f t="shared" si="11"/>
        <v>0-1 hours</v>
      </c>
      <c r="L257" t="s">
        <v>13</v>
      </c>
      <c r="M257">
        <v>7</v>
      </c>
      <c r="N257">
        <v>7</v>
      </c>
      <c r="O257">
        <v>2</v>
      </c>
      <c r="P257">
        <v>0</v>
      </c>
    </row>
    <row r="258" spans="1:16" x14ac:dyDescent="0.25">
      <c r="A258">
        <v>18</v>
      </c>
      <c r="B258" t="s">
        <v>11</v>
      </c>
      <c r="C258">
        <v>3.2</v>
      </c>
      <c r="D258" t="str">
        <f t="shared" ref="D258:D321" si="12">IF(C258&lt;2,"Low",IF(C258&lt;7,"Medium","High"))</f>
        <v>Medium</v>
      </c>
      <c r="E258" t="s">
        <v>15</v>
      </c>
      <c r="F258" s="1">
        <v>5.0999999999999996</v>
      </c>
      <c r="G258" t="str">
        <f t="shared" ref="G258:G321" si="13">IF(F258&gt;=8,"Normal","Low")</f>
        <v>Low</v>
      </c>
      <c r="H258">
        <v>1.2</v>
      </c>
      <c r="I258">
        <v>3.54</v>
      </c>
      <c r="J258" s="1">
        <v>1.3</v>
      </c>
      <c r="K258" t="str">
        <f t="shared" ref="K258:K321" si="14">IF(J258=0,"No activity",IF(J258&lt;=1,"0-1 hours","1-2 hours"))</f>
        <v>1-2 hours</v>
      </c>
      <c r="L258" t="s">
        <v>13</v>
      </c>
      <c r="M258">
        <v>6</v>
      </c>
      <c r="N258">
        <v>2</v>
      </c>
      <c r="O258">
        <v>8</v>
      </c>
      <c r="P258">
        <v>0</v>
      </c>
    </row>
    <row r="259" spans="1:16" x14ac:dyDescent="0.25">
      <c r="A259">
        <v>14</v>
      </c>
      <c r="B259" t="s">
        <v>11</v>
      </c>
      <c r="C259">
        <v>6.5</v>
      </c>
      <c r="D259" t="str">
        <f t="shared" si="12"/>
        <v>Medium</v>
      </c>
      <c r="E259" t="s">
        <v>12</v>
      </c>
      <c r="F259" s="1">
        <v>5.3</v>
      </c>
      <c r="G259" t="str">
        <f t="shared" si="13"/>
        <v>Low</v>
      </c>
      <c r="H259">
        <v>2.7</v>
      </c>
      <c r="I259">
        <v>3.79</v>
      </c>
      <c r="J259" s="1">
        <v>0.8</v>
      </c>
      <c r="K259" t="str">
        <f t="shared" si="14"/>
        <v>0-1 hours</v>
      </c>
      <c r="L259" t="s">
        <v>13</v>
      </c>
      <c r="M259">
        <v>8</v>
      </c>
      <c r="N259">
        <v>6</v>
      </c>
      <c r="O259">
        <v>4</v>
      </c>
      <c r="P259">
        <v>0</v>
      </c>
    </row>
    <row r="260" spans="1:16" x14ac:dyDescent="0.25">
      <c r="A260">
        <v>17</v>
      </c>
      <c r="B260" t="s">
        <v>14</v>
      </c>
      <c r="C260">
        <v>7.3</v>
      </c>
      <c r="D260" t="str">
        <f t="shared" si="12"/>
        <v>High</v>
      </c>
      <c r="E260" t="s">
        <v>12</v>
      </c>
      <c r="F260" s="1">
        <v>6.2</v>
      </c>
      <c r="G260" t="str">
        <f t="shared" si="13"/>
        <v>Low</v>
      </c>
      <c r="H260">
        <v>1</v>
      </c>
      <c r="I260">
        <v>2.02</v>
      </c>
      <c r="J260" s="1">
        <v>0.2</v>
      </c>
      <c r="K260" t="str">
        <f t="shared" si="14"/>
        <v>0-1 hours</v>
      </c>
      <c r="L260" t="s">
        <v>13</v>
      </c>
      <c r="M260">
        <v>1</v>
      </c>
      <c r="N260">
        <v>6</v>
      </c>
      <c r="O260">
        <v>3</v>
      </c>
      <c r="P260">
        <v>0</v>
      </c>
    </row>
    <row r="261" spans="1:16" x14ac:dyDescent="0.25">
      <c r="A261">
        <v>17</v>
      </c>
      <c r="B261" t="s">
        <v>11</v>
      </c>
      <c r="C261">
        <v>1.5</v>
      </c>
      <c r="D261" t="str">
        <f t="shared" si="12"/>
        <v>Low</v>
      </c>
      <c r="E261" t="s">
        <v>15</v>
      </c>
      <c r="F261" s="1">
        <v>5.5</v>
      </c>
      <c r="G261" t="str">
        <f t="shared" si="13"/>
        <v>Low</v>
      </c>
      <c r="H261">
        <v>1.7</v>
      </c>
      <c r="I261">
        <v>2.93</v>
      </c>
      <c r="J261" s="1">
        <v>0.7</v>
      </c>
      <c r="K261" t="str">
        <f t="shared" si="14"/>
        <v>0-1 hours</v>
      </c>
      <c r="L261" t="s">
        <v>13</v>
      </c>
      <c r="M261">
        <v>4</v>
      </c>
      <c r="N261">
        <v>9</v>
      </c>
      <c r="O261">
        <v>9</v>
      </c>
      <c r="P261">
        <v>0</v>
      </c>
    </row>
    <row r="262" spans="1:16" x14ac:dyDescent="0.25">
      <c r="A262">
        <v>16</v>
      </c>
      <c r="B262" t="s">
        <v>11</v>
      </c>
      <c r="C262">
        <v>3.8</v>
      </c>
      <c r="D262" t="str">
        <f t="shared" si="12"/>
        <v>Medium</v>
      </c>
      <c r="E262" t="s">
        <v>12</v>
      </c>
      <c r="F262" s="1">
        <v>6.8</v>
      </c>
      <c r="G262" t="str">
        <f t="shared" si="13"/>
        <v>Low</v>
      </c>
      <c r="H262">
        <v>2.4</v>
      </c>
      <c r="I262">
        <v>3.1</v>
      </c>
      <c r="J262" s="1">
        <v>1.6</v>
      </c>
      <c r="K262" t="str">
        <f t="shared" si="14"/>
        <v>1-2 hours</v>
      </c>
      <c r="L262" t="s">
        <v>13</v>
      </c>
      <c r="M262">
        <v>6</v>
      </c>
      <c r="N262">
        <v>10</v>
      </c>
      <c r="O262">
        <v>4</v>
      </c>
      <c r="P262">
        <v>0</v>
      </c>
    </row>
    <row r="263" spans="1:16" x14ac:dyDescent="0.25">
      <c r="A263">
        <v>13</v>
      </c>
      <c r="B263" t="s">
        <v>14</v>
      </c>
      <c r="C263">
        <v>3.6</v>
      </c>
      <c r="D263" t="str">
        <f t="shared" si="12"/>
        <v>Medium</v>
      </c>
      <c r="E263" t="s">
        <v>15</v>
      </c>
      <c r="F263" s="1">
        <v>8.6</v>
      </c>
      <c r="G263" t="str">
        <f t="shared" si="13"/>
        <v>Normal</v>
      </c>
      <c r="H263">
        <v>2.8</v>
      </c>
      <c r="I263">
        <v>3.28</v>
      </c>
      <c r="J263" s="1">
        <v>0.7</v>
      </c>
      <c r="K263" t="str">
        <f t="shared" si="14"/>
        <v>0-1 hours</v>
      </c>
      <c r="L263" t="s">
        <v>16</v>
      </c>
      <c r="M263">
        <v>10</v>
      </c>
      <c r="N263">
        <v>3</v>
      </c>
      <c r="O263">
        <v>5</v>
      </c>
      <c r="P263">
        <v>0</v>
      </c>
    </row>
    <row r="264" spans="1:16" x14ac:dyDescent="0.25">
      <c r="A264">
        <v>15</v>
      </c>
      <c r="B264" t="s">
        <v>11</v>
      </c>
      <c r="C264">
        <v>3.6</v>
      </c>
      <c r="D264" t="str">
        <f t="shared" si="12"/>
        <v>Medium</v>
      </c>
      <c r="E264" t="s">
        <v>15</v>
      </c>
      <c r="F264" s="1">
        <v>4.3</v>
      </c>
      <c r="G264" t="str">
        <f t="shared" si="13"/>
        <v>Low</v>
      </c>
      <c r="H264">
        <v>2.9</v>
      </c>
      <c r="I264">
        <v>2.2000000000000002</v>
      </c>
      <c r="J264" s="1">
        <v>1</v>
      </c>
      <c r="K264" t="str">
        <f t="shared" si="14"/>
        <v>0-1 hours</v>
      </c>
      <c r="L264" t="s">
        <v>16</v>
      </c>
      <c r="M264">
        <v>10</v>
      </c>
      <c r="N264">
        <v>9</v>
      </c>
      <c r="O264">
        <v>7</v>
      </c>
      <c r="P264">
        <v>0</v>
      </c>
    </row>
    <row r="265" spans="1:16" x14ac:dyDescent="0.25">
      <c r="A265">
        <v>17</v>
      </c>
      <c r="B265" t="s">
        <v>14</v>
      </c>
      <c r="C265">
        <v>5.3</v>
      </c>
      <c r="D265" t="str">
        <f t="shared" si="12"/>
        <v>Medium</v>
      </c>
      <c r="E265" t="s">
        <v>12</v>
      </c>
      <c r="F265" s="1">
        <v>7.4</v>
      </c>
      <c r="G265" t="str">
        <f t="shared" si="13"/>
        <v>Low</v>
      </c>
      <c r="H265">
        <v>1.2</v>
      </c>
      <c r="I265">
        <v>3.41</v>
      </c>
      <c r="J265" s="1">
        <v>1.1000000000000001</v>
      </c>
      <c r="K265" t="str">
        <f t="shared" si="14"/>
        <v>1-2 hours</v>
      </c>
      <c r="L265" t="s">
        <v>16</v>
      </c>
      <c r="M265">
        <v>6</v>
      </c>
      <c r="N265">
        <v>3</v>
      </c>
      <c r="O265">
        <v>7</v>
      </c>
      <c r="P265">
        <v>0</v>
      </c>
    </row>
    <row r="266" spans="1:16" x14ac:dyDescent="0.25">
      <c r="A266">
        <v>19</v>
      </c>
      <c r="B266" t="s">
        <v>11</v>
      </c>
      <c r="C266">
        <v>4.4000000000000004</v>
      </c>
      <c r="D266" t="str">
        <f t="shared" si="12"/>
        <v>Medium</v>
      </c>
      <c r="E266" t="s">
        <v>15</v>
      </c>
      <c r="F266" s="1">
        <v>4.3</v>
      </c>
      <c r="G266" t="str">
        <f t="shared" si="13"/>
        <v>Low</v>
      </c>
      <c r="H266">
        <v>0.8</v>
      </c>
      <c r="I266">
        <v>2.44</v>
      </c>
      <c r="J266" s="1">
        <v>1</v>
      </c>
      <c r="K266" t="str">
        <f t="shared" si="14"/>
        <v>0-1 hours</v>
      </c>
      <c r="L266" t="s">
        <v>16</v>
      </c>
      <c r="M266">
        <v>9</v>
      </c>
      <c r="N266">
        <v>9</v>
      </c>
      <c r="O266">
        <v>7</v>
      </c>
      <c r="P266">
        <v>0</v>
      </c>
    </row>
    <row r="267" spans="1:16" x14ac:dyDescent="0.25">
      <c r="A267">
        <v>18</v>
      </c>
      <c r="B267" t="s">
        <v>11</v>
      </c>
      <c r="C267">
        <v>7.7</v>
      </c>
      <c r="D267" t="str">
        <f t="shared" si="12"/>
        <v>High</v>
      </c>
      <c r="E267" t="s">
        <v>15</v>
      </c>
      <c r="F267" s="1">
        <v>4.7</v>
      </c>
      <c r="G267" t="str">
        <f t="shared" si="13"/>
        <v>Low</v>
      </c>
      <c r="H267">
        <v>1.4</v>
      </c>
      <c r="I267">
        <v>3.04</v>
      </c>
      <c r="J267" s="1">
        <v>0.6</v>
      </c>
      <c r="K267" t="str">
        <f t="shared" si="14"/>
        <v>0-1 hours</v>
      </c>
      <c r="L267" t="s">
        <v>17</v>
      </c>
      <c r="M267">
        <v>9</v>
      </c>
      <c r="N267">
        <v>6</v>
      </c>
      <c r="O267">
        <v>6</v>
      </c>
      <c r="P267">
        <v>0</v>
      </c>
    </row>
    <row r="268" spans="1:16" x14ac:dyDescent="0.25">
      <c r="A268">
        <v>14</v>
      </c>
      <c r="B268" t="s">
        <v>14</v>
      </c>
      <c r="C268">
        <v>7.1</v>
      </c>
      <c r="D268" t="str">
        <f t="shared" si="12"/>
        <v>High</v>
      </c>
      <c r="E268" t="s">
        <v>15</v>
      </c>
      <c r="F268" s="1">
        <v>4.5</v>
      </c>
      <c r="G268" t="str">
        <f t="shared" si="13"/>
        <v>Low</v>
      </c>
      <c r="H268">
        <v>2.4</v>
      </c>
      <c r="I268">
        <v>3.53</v>
      </c>
      <c r="J268" s="1">
        <v>0.4</v>
      </c>
      <c r="K268" t="str">
        <f t="shared" si="14"/>
        <v>0-1 hours</v>
      </c>
      <c r="L268" t="s">
        <v>16</v>
      </c>
      <c r="M268">
        <v>3</v>
      </c>
      <c r="N268">
        <v>4</v>
      </c>
      <c r="O268">
        <v>4</v>
      </c>
      <c r="P268">
        <v>0</v>
      </c>
    </row>
    <row r="269" spans="1:16" x14ac:dyDescent="0.25">
      <c r="A269">
        <v>16</v>
      </c>
      <c r="B269" t="s">
        <v>11</v>
      </c>
      <c r="C269">
        <v>4.9000000000000004</v>
      </c>
      <c r="D269" t="str">
        <f t="shared" si="12"/>
        <v>Medium</v>
      </c>
      <c r="E269" t="s">
        <v>12</v>
      </c>
      <c r="F269" s="1">
        <v>6.8</v>
      </c>
      <c r="G269" t="str">
        <f t="shared" si="13"/>
        <v>Low</v>
      </c>
      <c r="H269">
        <v>1</v>
      </c>
      <c r="I269">
        <v>3.18</v>
      </c>
      <c r="J269" s="1">
        <v>1.9</v>
      </c>
      <c r="K269" t="str">
        <f t="shared" si="14"/>
        <v>1-2 hours</v>
      </c>
      <c r="L269" t="s">
        <v>16</v>
      </c>
      <c r="M269">
        <v>7</v>
      </c>
      <c r="N269">
        <v>4</v>
      </c>
      <c r="O269">
        <v>8</v>
      </c>
      <c r="P269">
        <v>0</v>
      </c>
    </row>
    <row r="270" spans="1:16" x14ac:dyDescent="0.25">
      <c r="A270">
        <v>19</v>
      </c>
      <c r="B270" t="s">
        <v>11</v>
      </c>
      <c r="C270">
        <v>4.5999999999999996</v>
      </c>
      <c r="D270" t="str">
        <f t="shared" si="12"/>
        <v>Medium</v>
      </c>
      <c r="E270" t="s">
        <v>18</v>
      </c>
      <c r="F270" s="1">
        <v>8.9</v>
      </c>
      <c r="G270" t="str">
        <f t="shared" si="13"/>
        <v>Normal</v>
      </c>
      <c r="H270">
        <v>1.9</v>
      </c>
      <c r="I270">
        <v>2.5</v>
      </c>
      <c r="J270" s="1">
        <v>0.4</v>
      </c>
      <c r="K270" t="str">
        <f t="shared" si="14"/>
        <v>0-1 hours</v>
      </c>
      <c r="L270" t="s">
        <v>17</v>
      </c>
      <c r="M270">
        <v>8</v>
      </c>
      <c r="N270">
        <v>1</v>
      </c>
      <c r="O270">
        <v>3</v>
      </c>
      <c r="P270">
        <v>0</v>
      </c>
    </row>
    <row r="271" spans="1:16" x14ac:dyDescent="0.25">
      <c r="A271">
        <v>19</v>
      </c>
      <c r="B271" t="s">
        <v>11</v>
      </c>
      <c r="C271">
        <v>1.8</v>
      </c>
      <c r="D271" t="str">
        <f t="shared" si="12"/>
        <v>Low</v>
      </c>
      <c r="E271" t="s">
        <v>12</v>
      </c>
      <c r="F271" s="1">
        <v>6.5</v>
      </c>
      <c r="G271" t="str">
        <f t="shared" si="13"/>
        <v>Low</v>
      </c>
      <c r="H271">
        <v>2.6</v>
      </c>
      <c r="I271">
        <v>2.75</v>
      </c>
      <c r="J271" s="1">
        <v>1.7</v>
      </c>
      <c r="K271" t="str">
        <f t="shared" si="14"/>
        <v>1-2 hours</v>
      </c>
      <c r="L271" t="s">
        <v>16</v>
      </c>
      <c r="M271">
        <v>7</v>
      </c>
      <c r="N271">
        <v>6</v>
      </c>
      <c r="O271">
        <v>1</v>
      </c>
      <c r="P271">
        <v>0</v>
      </c>
    </row>
    <row r="272" spans="1:16" x14ac:dyDescent="0.25">
      <c r="A272">
        <v>16</v>
      </c>
      <c r="B272" t="s">
        <v>11</v>
      </c>
      <c r="C272">
        <v>4.2</v>
      </c>
      <c r="D272" t="str">
        <f t="shared" si="12"/>
        <v>Medium</v>
      </c>
      <c r="E272" t="s">
        <v>18</v>
      </c>
      <c r="F272" s="1">
        <v>5.7</v>
      </c>
      <c r="G272" t="str">
        <f t="shared" si="13"/>
        <v>Low</v>
      </c>
      <c r="H272">
        <v>1</v>
      </c>
      <c r="I272">
        <v>2.77</v>
      </c>
      <c r="J272" s="1">
        <v>0.1</v>
      </c>
      <c r="K272" t="str">
        <f t="shared" si="14"/>
        <v>0-1 hours</v>
      </c>
      <c r="L272" t="s">
        <v>16</v>
      </c>
      <c r="M272">
        <v>10</v>
      </c>
      <c r="N272">
        <v>5</v>
      </c>
      <c r="O272">
        <v>9</v>
      </c>
      <c r="P272">
        <v>0</v>
      </c>
    </row>
    <row r="273" spans="1:16" x14ac:dyDescent="0.25">
      <c r="A273">
        <v>16</v>
      </c>
      <c r="B273" t="s">
        <v>11</v>
      </c>
      <c r="C273">
        <v>1.5</v>
      </c>
      <c r="D273" t="str">
        <f t="shared" si="12"/>
        <v>Low</v>
      </c>
      <c r="E273" t="s">
        <v>15</v>
      </c>
      <c r="F273" s="1">
        <v>6.7</v>
      </c>
      <c r="G273" t="str">
        <f t="shared" si="13"/>
        <v>Low</v>
      </c>
      <c r="H273">
        <v>0.5</v>
      </c>
      <c r="I273">
        <v>2.78</v>
      </c>
      <c r="J273" s="1">
        <v>1.2</v>
      </c>
      <c r="K273" t="str">
        <f t="shared" si="14"/>
        <v>1-2 hours</v>
      </c>
      <c r="L273" t="s">
        <v>13</v>
      </c>
      <c r="M273">
        <v>1</v>
      </c>
      <c r="N273">
        <v>9</v>
      </c>
      <c r="O273">
        <v>6</v>
      </c>
      <c r="P273">
        <v>0</v>
      </c>
    </row>
    <row r="274" spans="1:16" x14ac:dyDescent="0.25">
      <c r="A274">
        <v>19</v>
      </c>
      <c r="B274" t="s">
        <v>11</v>
      </c>
      <c r="C274">
        <v>7</v>
      </c>
      <c r="D274" t="str">
        <f t="shared" si="12"/>
        <v>High</v>
      </c>
      <c r="E274" t="s">
        <v>12</v>
      </c>
      <c r="F274" s="1">
        <v>8.9</v>
      </c>
      <c r="G274" t="str">
        <f t="shared" si="13"/>
        <v>Normal</v>
      </c>
      <c r="H274">
        <v>2.8</v>
      </c>
      <c r="I274">
        <v>2.84</v>
      </c>
      <c r="J274" s="1">
        <v>0.4</v>
      </c>
      <c r="K274" t="str">
        <f t="shared" si="14"/>
        <v>0-1 hours</v>
      </c>
      <c r="L274" t="s">
        <v>16</v>
      </c>
      <c r="M274">
        <v>6</v>
      </c>
      <c r="N274">
        <v>8</v>
      </c>
      <c r="O274">
        <v>6</v>
      </c>
      <c r="P274">
        <v>0</v>
      </c>
    </row>
    <row r="275" spans="1:16" x14ac:dyDescent="0.25">
      <c r="A275">
        <v>14</v>
      </c>
      <c r="B275" t="s">
        <v>14</v>
      </c>
      <c r="C275">
        <v>6.5</v>
      </c>
      <c r="D275" t="str">
        <f t="shared" si="12"/>
        <v>Medium</v>
      </c>
      <c r="E275" t="s">
        <v>18</v>
      </c>
      <c r="F275" s="1">
        <v>7.8</v>
      </c>
      <c r="G275" t="str">
        <f t="shared" si="13"/>
        <v>Low</v>
      </c>
      <c r="H275">
        <v>1.5</v>
      </c>
      <c r="I275">
        <v>3.26</v>
      </c>
      <c r="J275" s="1">
        <v>0.8</v>
      </c>
      <c r="K275" t="str">
        <f t="shared" si="14"/>
        <v>0-1 hours</v>
      </c>
      <c r="L275" t="s">
        <v>17</v>
      </c>
      <c r="M275">
        <v>9</v>
      </c>
      <c r="N275">
        <v>2</v>
      </c>
      <c r="O275">
        <v>3</v>
      </c>
      <c r="P275">
        <v>0</v>
      </c>
    </row>
    <row r="276" spans="1:16" x14ac:dyDescent="0.25">
      <c r="A276">
        <v>19</v>
      </c>
      <c r="B276" t="s">
        <v>14</v>
      </c>
      <c r="C276">
        <v>4.3</v>
      </c>
      <c r="D276" t="str">
        <f t="shared" si="12"/>
        <v>Medium</v>
      </c>
      <c r="E276" t="s">
        <v>12</v>
      </c>
      <c r="F276" s="1">
        <v>5.9</v>
      </c>
      <c r="G276" t="str">
        <f t="shared" si="13"/>
        <v>Low</v>
      </c>
      <c r="H276">
        <v>2.1</v>
      </c>
      <c r="I276">
        <v>2.85</v>
      </c>
      <c r="J276" s="1">
        <v>1.7</v>
      </c>
      <c r="K276" t="str">
        <f t="shared" si="14"/>
        <v>1-2 hours</v>
      </c>
      <c r="L276" t="s">
        <v>16</v>
      </c>
      <c r="M276">
        <v>9</v>
      </c>
      <c r="N276">
        <v>9</v>
      </c>
      <c r="O276">
        <v>8</v>
      </c>
      <c r="P276">
        <v>0</v>
      </c>
    </row>
    <row r="277" spans="1:16" x14ac:dyDescent="0.25">
      <c r="A277">
        <v>16</v>
      </c>
      <c r="B277" t="s">
        <v>11</v>
      </c>
      <c r="C277">
        <v>7.2</v>
      </c>
      <c r="D277" t="str">
        <f t="shared" si="12"/>
        <v>High</v>
      </c>
      <c r="E277" t="s">
        <v>18</v>
      </c>
      <c r="F277" s="1">
        <v>7.7</v>
      </c>
      <c r="G277" t="str">
        <f t="shared" si="13"/>
        <v>Low</v>
      </c>
      <c r="H277">
        <v>2.5</v>
      </c>
      <c r="I277">
        <v>2.56</v>
      </c>
      <c r="J277" s="1">
        <v>1.7</v>
      </c>
      <c r="K277" t="str">
        <f t="shared" si="14"/>
        <v>1-2 hours</v>
      </c>
      <c r="L277" t="s">
        <v>16</v>
      </c>
      <c r="M277">
        <v>8</v>
      </c>
      <c r="N277">
        <v>7</v>
      </c>
      <c r="O277">
        <v>6</v>
      </c>
      <c r="P277">
        <v>0</v>
      </c>
    </row>
    <row r="278" spans="1:16" x14ac:dyDescent="0.25">
      <c r="A278">
        <v>13</v>
      </c>
      <c r="B278" t="s">
        <v>11</v>
      </c>
      <c r="C278">
        <v>7</v>
      </c>
      <c r="D278" t="str">
        <f t="shared" si="12"/>
        <v>High</v>
      </c>
      <c r="E278" t="s">
        <v>18</v>
      </c>
      <c r="F278" s="1">
        <v>4.0999999999999996</v>
      </c>
      <c r="G278" t="str">
        <f t="shared" si="13"/>
        <v>Low</v>
      </c>
      <c r="H278">
        <v>1.9</v>
      </c>
      <c r="I278">
        <v>2.2999999999999998</v>
      </c>
      <c r="J278" s="1">
        <v>0.3</v>
      </c>
      <c r="K278" t="str">
        <f t="shared" si="14"/>
        <v>0-1 hours</v>
      </c>
      <c r="L278" t="s">
        <v>17</v>
      </c>
      <c r="M278">
        <v>3</v>
      </c>
      <c r="N278">
        <v>10</v>
      </c>
      <c r="O278">
        <v>6</v>
      </c>
      <c r="P278">
        <v>0</v>
      </c>
    </row>
    <row r="279" spans="1:16" x14ac:dyDescent="0.25">
      <c r="A279">
        <v>18</v>
      </c>
      <c r="B279" t="s">
        <v>14</v>
      </c>
      <c r="C279">
        <v>3.8</v>
      </c>
      <c r="D279" t="str">
        <f t="shared" si="12"/>
        <v>Medium</v>
      </c>
      <c r="E279" t="s">
        <v>18</v>
      </c>
      <c r="F279" s="1">
        <v>5.4</v>
      </c>
      <c r="G279" t="str">
        <f t="shared" si="13"/>
        <v>Low</v>
      </c>
      <c r="H279">
        <v>1.7</v>
      </c>
      <c r="I279">
        <v>3.06</v>
      </c>
      <c r="J279" s="1">
        <v>1.9</v>
      </c>
      <c r="K279" t="str">
        <f t="shared" si="14"/>
        <v>1-2 hours</v>
      </c>
      <c r="L279" t="s">
        <v>17</v>
      </c>
      <c r="M279">
        <v>5</v>
      </c>
      <c r="N279">
        <v>10</v>
      </c>
      <c r="O279">
        <v>3</v>
      </c>
      <c r="P279">
        <v>0</v>
      </c>
    </row>
    <row r="280" spans="1:16" x14ac:dyDescent="0.25">
      <c r="A280">
        <v>17</v>
      </c>
      <c r="B280" t="s">
        <v>14</v>
      </c>
      <c r="C280">
        <v>3</v>
      </c>
      <c r="D280" t="str">
        <f t="shared" si="12"/>
        <v>Medium</v>
      </c>
      <c r="E280" t="s">
        <v>12</v>
      </c>
      <c r="F280" s="1">
        <v>6.9</v>
      </c>
      <c r="G280" t="str">
        <f t="shared" si="13"/>
        <v>Low</v>
      </c>
      <c r="H280">
        <v>2.2999999999999998</v>
      </c>
      <c r="I280">
        <v>3.34</v>
      </c>
      <c r="J280" s="1">
        <v>0.6</v>
      </c>
      <c r="K280" t="str">
        <f t="shared" si="14"/>
        <v>0-1 hours</v>
      </c>
      <c r="L280" t="s">
        <v>13</v>
      </c>
      <c r="M280">
        <v>5</v>
      </c>
      <c r="N280">
        <v>2</v>
      </c>
      <c r="O280">
        <v>9</v>
      </c>
      <c r="P280">
        <v>0</v>
      </c>
    </row>
    <row r="281" spans="1:16" x14ac:dyDescent="0.25">
      <c r="A281">
        <v>14</v>
      </c>
      <c r="B281" t="s">
        <v>14</v>
      </c>
      <c r="C281">
        <v>7</v>
      </c>
      <c r="D281" t="str">
        <f t="shared" si="12"/>
        <v>High</v>
      </c>
      <c r="E281" t="s">
        <v>15</v>
      </c>
      <c r="F281" s="1">
        <v>7.8</v>
      </c>
      <c r="G281" t="str">
        <f t="shared" si="13"/>
        <v>Low</v>
      </c>
      <c r="H281">
        <v>1.1000000000000001</v>
      </c>
      <c r="I281">
        <v>3.81</v>
      </c>
      <c r="J281" s="1">
        <v>1.4</v>
      </c>
      <c r="K281" t="str">
        <f t="shared" si="14"/>
        <v>1-2 hours</v>
      </c>
      <c r="L281" t="s">
        <v>17</v>
      </c>
      <c r="M281">
        <v>10</v>
      </c>
      <c r="N281">
        <v>4</v>
      </c>
      <c r="O281">
        <v>2</v>
      </c>
      <c r="P281">
        <v>0</v>
      </c>
    </row>
    <row r="282" spans="1:16" x14ac:dyDescent="0.25">
      <c r="A282">
        <v>13</v>
      </c>
      <c r="B282" t="s">
        <v>11</v>
      </c>
      <c r="C282">
        <v>4.5999999999999996</v>
      </c>
      <c r="D282" t="str">
        <f t="shared" si="12"/>
        <v>Medium</v>
      </c>
      <c r="E282" t="s">
        <v>15</v>
      </c>
      <c r="F282" s="1">
        <v>5.3</v>
      </c>
      <c r="G282" t="str">
        <f t="shared" si="13"/>
        <v>Low</v>
      </c>
      <c r="H282">
        <v>2.2999999999999998</v>
      </c>
      <c r="I282">
        <v>2.42</v>
      </c>
      <c r="J282" s="1">
        <v>0.2</v>
      </c>
      <c r="K282" t="str">
        <f t="shared" si="14"/>
        <v>0-1 hours</v>
      </c>
      <c r="L282" t="s">
        <v>13</v>
      </c>
      <c r="M282">
        <v>5</v>
      </c>
      <c r="N282">
        <v>9</v>
      </c>
      <c r="O282">
        <v>5</v>
      </c>
      <c r="P282">
        <v>0</v>
      </c>
    </row>
    <row r="283" spans="1:16" x14ac:dyDescent="0.25">
      <c r="A283">
        <v>16</v>
      </c>
      <c r="B283" t="s">
        <v>11</v>
      </c>
      <c r="C283">
        <v>3.4</v>
      </c>
      <c r="D283" t="str">
        <f t="shared" si="12"/>
        <v>Medium</v>
      </c>
      <c r="E283" t="s">
        <v>18</v>
      </c>
      <c r="F283" s="1">
        <v>8.9</v>
      </c>
      <c r="G283" t="str">
        <f t="shared" si="13"/>
        <v>Normal</v>
      </c>
      <c r="H283">
        <v>2.6</v>
      </c>
      <c r="I283">
        <v>2.54</v>
      </c>
      <c r="J283" s="1">
        <v>1.8</v>
      </c>
      <c r="K283" t="str">
        <f t="shared" si="14"/>
        <v>1-2 hours</v>
      </c>
      <c r="L283" t="s">
        <v>16</v>
      </c>
      <c r="M283">
        <v>6</v>
      </c>
      <c r="N283">
        <v>2</v>
      </c>
      <c r="O283">
        <v>5</v>
      </c>
      <c r="P283">
        <v>0</v>
      </c>
    </row>
    <row r="284" spans="1:16" x14ac:dyDescent="0.25">
      <c r="A284">
        <v>19</v>
      </c>
      <c r="B284" t="s">
        <v>14</v>
      </c>
      <c r="C284">
        <v>3.5</v>
      </c>
      <c r="D284" t="str">
        <f t="shared" si="12"/>
        <v>Medium</v>
      </c>
      <c r="E284" t="s">
        <v>15</v>
      </c>
      <c r="F284" s="1">
        <v>6.7</v>
      </c>
      <c r="G284" t="str">
        <f t="shared" si="13"/>
        <v>Low</v>
      </c>
      <c r="H284">
        <v>2.7</v>
      </c>
      <c r="I284">
        <v>3.4</v>
      </c>
      <c r="J284" s="1">
        <v>1.2</v>
      </c>
      <c r="K284" t="str">
        <f t="shared" si="14"/>
        <v>1-2 hours</v>
      </c>
      <c r="L284" t="s">
        <v>13</v>
      </c>
      <c r="M284">
        <v>4</v>
      </c>
      <c r="N284">
        <v>6</v>
      </c>
      <c r="O284">
        <v>7</v>
      </c>
      <c r="P284">
        <v>0</v>
      </c>
    </row>
    <row r="285" spans="1:16" x14ac:dyDescent="0.25">
      <c r="A285">
        <v>14</v>
      </c>
      <c r="B285" t="s">
        <v>14</v>
      </c>
      <c r="C285">
        <v>4.4000000000000004</v>
      </c>
      <c r="D285" t="str">
        <f t="shared" si="12"/>
        <v>Medium</v>
      </c>
      <c r="E285" t="s">
        <v>18</v>
      </c>
      <c r="F285" s="1">
        <v>7.3</v>
      </c>
      <c r="G285" t="str">
        <f t="shared" si="13"/>
        <v>Low</v>
      </c>
      <c r="H285">
        <v>2.7</v>
      </c>
      <c r="I285">
        <v>3.3</v>
      </c>
      <c r="J285" s="1">
        <v>1.1000000000000001</v>
      </c>
      <c r="K285" t="str">
        <f t="shared" si="14"/>
        <v>1-2 hours</v>
      </c>
      <c r="L285" t="s">
        <v>13</v>
      </c>
      <c r="M285">
        <v>2</v>
      </c>
      <c r="N285">
        <v>1</v>
      </c>
      <c r="O285">
        <v>9</v>
      </c>
      <c r="P285">
        <v>0</v>
      </c>
    </row>
    <row r="286" spans="1:16" x14ac:dyDescent="0.25">
      <c r="A286">
        <v>14</v>
      </c>
      <c r="B286" t="s">
        <v>14</v>
      </c>
      <c r="C286">
        <v>1.8</v>
      </c>
      <c r="D286" t="str">
        <f t="shared" si="12"/>
        <v>Low</v>
      </c>
      <c r="E286" t="s">
        <v>18</v>
      </c>
      <c r="F286" s="1">
        <v>8.1999999999999993</v>
      </c>
      <c r="G286" t="str">
        <f t="shared" si="13"/>
        <v>Normal</v>
      </c>
      <c r="H286">
        <v>2.2000000000000002</v>
      </c>
      <c r="I286">
        <v>3.36</v>
      </c>
      <c r="J286" s="1">
        <v>1.7</v>
      </c>
      <c r="K286" t="str">
        <f t="shared" si="14"/>
        <v>1-2 hours</v>
      </c>
      <c r="L286" t="s">
        <v>16</v>
      </c>
      <c r="M286">
        <v>9</v>
      </c>
      <c r="N286">
        <v>5</v>
      </c>
      <c r="O286">
        <v>10</v>
      </c>
      <c r="P286">
        <v>0</v>
      </c>
    </row>
    <row r="287" spans="1:16" x14ac:dyDescent="0.25">
      <c r="A287">
        <v>17</v>
      </c>
      <c r="B287" t="s">
        <v>11</v>
      </c>
      <c r="C287">
        <v>3.9</v>
      </c>
      <c r="D287" t="str">
        <f t="shared" si="12"/>
        <v>Medium</v>
      </c>
      <c r="E287" t="s">
        <v>18</v>
      </c>
      <c r="F287" s="1">
        <v>7.7</v>
      </c>
      <c r="G287" t="str">
        <f t="shared" si="13"/>
        <v>Low</v>
      </c>
      <c r="H287">
        <v>1</v>
      </c>
      <c r="I287">
        <v>2.1</v>
      </c>
      <c r="J287" s="1">
        <v>1.8</v>
      </c>
      <c r="K287" t="str">
        <f t="shared" si="14"/>
        <v>1-2 hours</v>
      </c>
      <c r="L287" t="s">
        <v>16</v>
      </c>
      <c r="M287">
        <v>7</v>
      </c>
      <c r="N287">
        <v>4</v>
      </c>
      <c r="O287">
        <v>5</v>
      </c>
      <c r="P287">
        <v>0</v>
      </c>
    </row>
    <row r="288" spans="1:16" x14ac:dyDescent="0.25">
      <c r="A288">
        <v>14</v>
      </c>
      <c r="B288" t="s">
        <v>14</v>
      </c>
      <c r="C288">
        <v>4.4000000000000004</v>
      </c>
      <c r="D288" t="str">
        <f t="shared" si="12"/>
        <v>Medium</v>
      </c>
      <c r="E288" t="s">
        <v>15</v>
      </c>
      <c r="F288" s="1">
        <v>5.7</v>
      </c>
      <c r="G288" t="str">
        <f t="shared" si="13"/>
        <v>Low</v>
      </c>
      <c r="H288">
        <v>1</v>
      </c>
      <c r="I288">
        <v>3.2</v>
      </c>
      <c r="J288" s="1">
        <v>1.9</v>
      </c>
      <c r="K288" t="str">
        <f t="shared" si="14"/>
        <v>1-2 hours</v>
      </c>
      <c r="L288" t="s">
        <v>16</v>
      </c>
      <c r="M288">
        <v>4</v>
      </c>
      <c r="N288">
        <v>2</v>
      </c>
      <c r="O288">
        <v>2</v>
      </c>
      <c r="P288">
        <v>0</v>
      </c>
    </row>
    <row r="289" spans="1:16" x14ac:dyDescent="0.25">
      <c r="A289">
        <v>13</v>
      </c>
      <c r="B289" t="s">
        <v>14</v>
      </c>
      <c r="C289">
        <v>2</v>
      </c>
      <c r="D289" t="str">
        <f t="shared" si="12"/>
        <v>Medium</v>
      </c>
      <c r="E289" t="s">
        <v>12</v>
      </c>
      <c r="F289" s="1">
        <v>8.6999999999999993</v>
      </c>
      <c r="G289" t="str">
        <f t="shared" si="13"/>
        <v>Normal</v>
      </c>
      <c r="H289">
        <v>1.9</v>
      </c>
      <c r="I289">
        <v>2.2799999999999998</v>
      </c>
      <c r="J289" s="1">
        <v>1.2</v>
      </c>
      <c r="K289" t="str">
        <f t="shared" si="14"/>
        <v>1-2 hours</v>
      </c>
      <c r="L289" t="s">
        <v>17</v>
      </c>
      <c r="M289">
        <v>7</v>
      </c>
      <c r="N289">
        <v>7</v>
      </c>
      <c r="O289">
        <v>9</v>
      </c>
      <c r="P289">
        <v>0</v>
      </c>
    </row>
    <row r="290" spans="1:16" x14ac:dyDescent="0.25">
      <c r="A290">
        <v>17</v>
      </c>
      <c r="B290" t="s">
        <v>11</v>
      </c>
      <c r="C290">
        <v>7.2</v>
      </c>
      <c r="D290" t="str">
        <f t="shared" si="12"/>
        <v>High</v>
      </c>
      <c r="E290" t="s">
        <v>15</v>
      </c>
      <c r="F290" s="1">
        <v>8.8000000000000007</v>
      </c>
      <c r="G290" t="str">
        <f t="shared" si="13"/>
        <v>Normal</v>
      </c>
      <c r="H290">
        <v>2.5</v>
      </c>
      <c r="I290">
        <v>3.97</v>
      </c>
      <c r="J290" s="1">
        <v>1.9</v>
      </c>
      <c r="K290" t="str">
        <f t="shared" si="14"/>
        <v>1-2 hours</v>
      </c>
      <c r="L290" t="s">
        <v>13</v>
      </c>
      <c r="M290">
        <v>1</v>
      </c>
      <c r="N290">
        <v>3</v>
      </c>
      <c r="O290">
        <v>9</v>
      </c>
      <c r="P290">
        <v>0</v>
      </c>
    </row>
    <row r="291" spans="1:16" x14ac:dyDescent="0.25">
      <c r="A291">
        <v>19</v>
      </c>
      <c r="B291" t="s">
        <v>11</v>
      </c>
      <c r="C291">
        <v>4.4000000000000004</v>
      </c>
      <c r="D291" t="str">
        <f t="shared" si="12"/>
        <v>Medium</v>
      </c>
      <c r="E291" t="s">
        <v>18</v>
      </c>
      <c r="F291" s="1">
        <v>6.4</v>
      </c>
      <c r="G291" t="str">
        <f t="shared" si="13"/>
        <v>Low</v>
      </c>
      <c r="H291">
        <v>0.9</v>
      </c>
      <c r="I291">
        <v>2.72</v>
      </c>
      <c r="J291" s="1">
        <v>0.2</v>
      </c>
      <c r="K291" t="str">
        <f t="shared" si="14"/>
        <v>0-1 hours</v>
      </c>
      <c r="L291" t="s">
        <v>17</v>
      </c>
      <c r="M291">
        <v>6</v>
      </c>
      <c r="N291">
        <v>9</v>
      </c>
      <c r="O291">
        <v>8</v>
      </c>
      <c r="P291">
        <v>0</v>
      </c>
    </row>
    <row r="292" spans="1:16" x14ac:dyDescent="0.25">
      <c r="A292">
        <v>14</v>
      </c>
      <c r="B292" t="s">
        <v>11</v>
      </c>
      <c r="C292">
        <v>7.2</v>
      </c>
      <c r="D292" t="str">
        <f t="shared" si="12"/>
        <v>High</v>
      </c>
      <c r="E292" t="s">
        <v>15</v>
      </c>
      <c r="F292" s="1">
        <v>4.8</v>
      </c>
      <c r="G292" t="str">
        <f t="shared" si="13"/>
        <v>Low</v>
      </c>
      <c r="H292">
        <v>1.4</v>
      </c>
      <c r="I292">
        <v>2.36</v>
      </c>
      <c r="J292" s="1">
        <v>0.1</v>
      </c>
      <c r="K292" t="str">
        <f t="shared" si="14"/>
        <v>0-1 hours</v>
      </c>
      <c r="L292" t="s">
        <v>13</v>
      </c>
      <c r="M292">
        <v>5</v>
      </c>
      <c r="N292">
        <v>7</v>
      </c>
      <c r="O292">
        <v>1</v>
      </c>
      <c r="P292">
        <v>0</v>
      </c>
    </row>
    <row r="293" spans="1:16" x14ac:dyDescent="0.25">
      <c r="A293">
        <v>13</v>
      </c>
      <c r="B293" t="s">
        <v>11</v>
      </c>
      <c r="C293">
        <v>5.4</v>
      </c>
      <c r="D293" t="str">
        <f t="shared" si="12"/>
        <v>Medium</v>
      </c>
      <c r="E293" t="s">
        <v>12</v>
      </c>
      <c r="F293" s="1">
        <v>6.5</v>
      </c>
      <c r="G293" t="str">
        <f t="shared" si="13"/>
        <v>Low</v>
      </c>
      <c r="H293">
        <v>0.8</v>
      </c>
      <c r="I293">
        <v>3.17</v>
      </c>
      <c r="J293" s="1">
        <v>0.3</v>
      </c>
      <c r="K293" t="str">
        <f t="shared" si="14"/>
        <v>0-1 hours</v>
      </c>
      <c r="L293" t="s">
        <v>17</v>
      </c>
      <c r="M293">
        <v>10</v>
      </c>
      <c r="N293">
        <v>3</v>
      </c>
      <c r="O293">
        <v>3</v>
      </c>
      <c r="P293">
        <v>0</v>
      </c>
    </row>
    <row r="294" spans="1:16" x14ac:dyDescent="0.25">
      <c r="A294">
        <v>16</v>
      </c>
      <c r="B294" t="s">
        <v>11</v>
      </c>
      <c r="C294">
        <v>1.5</v>
      </c>
      <c r="D294" t="str">
        <f t="shared" si="12"/>
        <v>Low</v>
      </c>
      <c r="E294" t="s">
        <v>15</v>
      </c>
      <c r="F294" s="1">
        <v>4.0999999999999996</v>
      </c>
      <c r="G294" t="str">
        <f t="shared" si="13"/>
        <v>Low</v>
      </c>
      <c r="H294">
        <v>1.3</v>
      </c>
      <c r="I294">
        <v>3.67</v>
      </c>
      <c r="J294" s="1">
        <v>1.2</v>
      </c>
      <c r="K294" t="str">
        <f t="shared" si="14"/>
        <v>1-2 hours</v>
      </c>
      <c r="L294" t="s">
        <v>16</v>
      </c>
      <c r="M294">
        <v>10</v>
      </c>
      <c r="N294">
        <v>6</v>
      </c>
      <c r="O294">
        <v>6</v>
      </c>
      <c r="P294">
        <v>0</v>
      </c>
    </row>
    <row r="295" spans="1:16" x14ac:dyDescent="0.25">
      <c r="A295">
        <v>15</v>
      </c>
      <c r="B295" t="s">
        <v>14</v>
      </c>
      <c r="C295">
        <v>1.8</v>
      </c>
      <c r="D295" t="str">
        <f t="shared" si="12"/>
        <v>Low</v>
      </c>
      <c r="E295" t="s">
        <v>12</v>
      </c>
      <c r="F295" s="1">
        <v>8</v>
      </c>
      <c r="G295" t="str">
        <f t="shared" si="13"/>
        <v>Normal</v>
      </c>
      <c r="H295">
        <v>2.8</v>
      </c>
      <c r="I295">
        <v>3.49</v>
      </c>
      <c r="J295" s="1">
        <v>0.6</v>
      </c>
      <c r="K295" t="str">
        <f t="shared" si="14"/>
        <v>0-1 hours</v>
      </c>
      <c r="L295" t="s">
        <v>13</v>
      </c>
      <c r="M295">
        <v>9</v>
      </c>
      <c r="N295">
        <v>8</v>
      </c>
      <c r="O295">
        <v>8</v>
      </c>
      <c r="P295">
        <v>0</v>
      </c>
    </row>
    <row r="296" spans="1:16" x14ac:dyDescent="0.25">
      <c r="A296">
        <v>17</v>
      </c>
      <c r="B296" t="s">
        <v>14</v>
      </c>
      <c r="C296">
        <v>3.7</v>
      </c>
      <c r="D296" t="str">
        <f t="shared" si="12"/>
        <v>Medium</v>
      </c>
      <c r="E296" t="s">
        <v>15</v>
      </c>
      <c r="F296" s="1">
        <v>5.3</v>
      </c>
      <c r="G296" t="str">
        <f t="shared" si="13"/>
        <v>Low</v>
      </c>
      <c r="H296">
        <v>0.7</v>
      </c>
      <c r="I296">
        <v>2.09</v>
      </c>
      <c r="J296" s="1">
        <v>0.8</v>
      </c>
      <c r="K296" t="str">
        <f t="shared" si="14"/>
        <v>0-1 hours</v>
      </c>
      <c r="L296" t="s">
        <v>16</v>
      </c>
      <c r="M296">
        <v>8</v>
      </c>
      <c r="N296">
        <v>8</v>
      </c>
      <c r="O296">
        <v>10</v>
      </c>
      <c r="P296">
        <v>0</v>
      </c>
    </row>
    <row r="297" spans="1:16" x14ac:dyDescent="0.25">
      <c r="A297">
        <v>13</v>
      </c>
      <c r="B297" t="s">
        <v>11</v>
      </c>
      <c r="C297">
        <v>6.4</v>
      </c>
      <c r="D297" t="str">
        <f t="shared" si="12"/>
        <v>Medium</v>
      </c>
      <c r="E297" t="s">
        <v>18</v>
      </c>
      <c r="F297" s="1">
        <v>8.3000000000000007</v>
      </c>
      <c r="G297" t="str">
        <f t="shared" si="13"/>
        <v>Normal</v>
      </c>
      <c r="H297">
        <v>1.3</v>
      </c>
      <c r="I297">
        <v>2.21</v>
      </c>
      <c r="J297" s="1">
        <v>1.2</v>
      </c>
      <c r="K297" t="str">
        <f t="shared" si="14"/>
        <v>1-2 hours</v>
      </c>
      <c r="L297" t="s">
        <v>16</v>
      </c>
      <c r="M297">
        <v>4</v>
      </c>
      <c r="N297">
        <v>5</v>
      </c>
      <c r="O297">
        <v>9</v>
      </c>
      <c r="P297">
        <v>0</v>
      </c>
    </row>
    <row r="298" spans="1:16" x14ac:dyDescent="0.25">
      <c r="A298">
        <v>19</v>
      </c>
      <c r="B298" t="s">
        <v>11</v>
      </c>
      <c r="C298">
        <v>6.4</v>
      </c>
      <c r="D298" t="str">
        <f t="shared" si="12"/>
        <v>Medium</v>
      </c>
      <c r="E298" t="s">
        <v>18</v>
      </c>
      <c r="F298" s="1">
        <v>6.7</v>
      </c>
      <c r="G298" t="str">
        <f t="shared" si="13"/>
        <v>Low</v>
      </c>
      <c r="H298">
        <v>2.4</v>
      </c>
      <c r="I298">
        <v>2.2000000000000002</v>
      </c>
      <c r="J298" s="1">
        <v>1.3</v>
      </c>
      <c r="K298" t="str">
        <f t="shared" si="14"/>
        <v>1-2 hours</v>
      </c>
      <c r="L298" t="s">
        <v>13</v>
      </c>
      <c r="M298">
        <v>5</v>
      </c>
      <c r="N298">
        <v>2</v>
      </c>
      <c r="O298">
        <v>2</v>
      </c>
      <c r="P298">
        <v>0</v>
      </c>
    </row>
    <row r="299" spans="1:16" x14ac:dyDescent="0.25">
      <c r="A299">
        <v>17</v>
      </c>
      <c r="B299" t="s">
        <v>14</v>
      </c>
      <c r="C299">
        <v>1.1000000000000001</v>
      </c>
      <c r="D299" t="str">
        <f t="shared" si="12"/>
        <v>Low</v>
      </c>
      <c r="E299" t="s">
        <v>12</v>
      </c>
      <c r="F299" s="1">
        <v>9</v>
      </c>
      <c r="G299" t="str">
        <f t="shared" si="13"/>
        <v>Normal</v>
      </c>
      <c r="H299">
        <v>2.9</v>
      </c>
      <c r="I299">
        <v>2.74</v>
      </c>
      <c r="J299" s="1">
        <v>1</v>
      </c>
      <c r="K299" t="str">
        <f t="shared" si="14"/>
        <v>0-1 hours</v>
      </c>
      <c r="L299" t="s">
        <v>17</v>
      </c>
      <c r="M299">
        <v>2</v>
      </c>
      <c r="N299">
        <v>8</v>
      </c>
      <c r="O299">
        <v>2</v>
      </c>
      <c r="P299">
        <v>0</v>
      </c>
    </row>
    <row r="300" spans="1:16" x14ac:dyDescent="0.25">
      <c r="A300">
        <v>13</v>
      </c>
      <c r="B300" t="s">
        <v>11</v>
      </c>
      <c r="C300">
        <v>1.3</v>
      </c>
      <c r="D300" t="str">
        <f t="shared" si="12"/>
        <v>Low</v>
      </c>
      <c r="E300" t="s">
        <v>15</v>
      </c>
      <c r="F300" s="1">
        <v>7.8</v>
      </c>
      <c r="G300" t="str">
        <f t="shared" si="13"/>
        <v>Low</v>
      </c>
      <c r="H300">
        <v>2.6</v>
      </c>
      <c r="I300">
        <v>3.01</v>
      </c>
      <c r="J300" s="1">
        <v>0.3</v>
      </c>
      <c r="K300" t="str">
        <f t="shared" si="14"/>
        <v>0-1 hours</v>
      </c>
      <c r="L300" t="s">
        <v>13</v>
      </c>
      <c r="M300">
        <v>2</v>
      </c>
      <c r="N300">
        <v>9</v>
      </c>
      <c r="O300">
        <v>10</v>
      </c>
      <c r="P300">
        <v>0</v>
      </c>
    </row>
    <row r="301" spans="1:16" x14ac:dyDescent="0.25">
      <c r="A301">
        <v>17</v>
      </c>
      <c r="B301" t="s">
        <v>14</v>
      </c>
      <c r="C301">
        <v>4.4000000000000004</v>
      </c>
      <c r="D301" t="str">
        <f t="shared" si="12"/>
        <v>Medium</v>
      </c>
      <c r="E301" t="s">
        <v>12</v>
      </c>
      <c r="F301" s="1">
        <v>6</v>
      </c>
      <c r="G301" t="str">
        <f t="shared" si="13"/>
        <v>Low</v>
      </c>
      <c r="H301">
        <v>1.2</v>
      </c>
      <c r="I301">
        <v>2.48</v>
      </c>
      <c r="J301" s="1">
        <v>0.9</v>
      </c>
      <c r="K301" t="str">
        <f t="shared" si="14"/>
        <v>0-1 hours</v>
      </c>
      <c r="L301" t="s">
        <v>17</v>
      </c>
      <c r="M301">
        <v>6</v>
      </c>
      <c r="N301">
        <v>2</v>
      </c>
      <c r="O301">
        <v>6</v>
      </c>
      <c r="P301">
        <v>0</v>
      </c>
    </row>
    <row r="302" spans="1:16" x14ac:dyDescent="0.25">
      <c r="A302">
        <v>13</v>
      </c>
      <c r="B302" t="s">
        <v>11</v>
      </c>
      <c r="C302">
        <v>7.8</v>
      </c>
      <c r="D302" t="str">
        <f t="shared" si="12"/>
        <v>High</v>
      </c>
      <c r="E302" t="s">
        <v>12</v>
      </c>
      <c r="F302" s="1">
        <v>5</v>
      </c>
      <c r="G302" t="str">
        <f t="shared" si="13"/>
        <v>Low</v>
      </c>
      <c r="H302">
        <v>1.8</v>
      </c>
      <c r="I302">
        <v>3.57</v>
      </c>
      <c r="J302" s="1">
        <v>1.5</v>
      </c>
      <c r="K302" t="str">
        <f t="shared" si="14"/>
        <v>1-2 hours</v>
      </c>
      <c r="L302" t="s">
        <v>17</v>
      </c>
      <c r="M302">
        <v>8</v>
      </c>
      <c r="N302">
        <v>10</v>
      </c>
      <c r="O302">
        <v>3</v>
      </c>
      <c r="P302">
        <v>1</v>
      </c>
    </row>
    <row r="303" spans="1:16" x14ac:dyDescent="0.25">
      <c r="A303">
        <v>14</v>
      </c>
      <c r="B303" t="s">
        <v>14</v>
      </c>
      <c r="C303">
        <v>6.9</v>
      </c>
      <c r="D303" t="str">
        <f t="shared" si="12"/>
        <v>Medium</v>
      </c>
      <c r="E303" t="s">
        <v>15</v>
      </c>
      <c r="F303" s="1">
        <v>6.4</v>
      </c>
      <c r="G303" t="str">
        <f t="shared" si="13"/>
        <v>Low</v>
      </c>
      <c r="H303">
        <v>0.9</v>
      </c>
      <c r="I303">
        <v>2.04</v>
      </c>
      <c r="J303" s="1">
        <v>1.3</v>
      </c>
      <c r="K303" t="str">
        <f t="shared" si="14"/>
        <v>1-2 hours</v>
      </c>
      <c r="L303" t="s">
        <v>17</v>
      </c>
      <c r="M303">
        <v>5</v>
      </c>
      <c r="N303">
        <v>5</v>
      </c>
      <c r="O303">
        <v>9</v>
      </c>
      <c r="P303">
        <v>0</v>
      </c>
    </row>
    <row r="304" spans="1:16" x14ac:dyDescent="0.25">
      <c r="A304">
        <v>14</v>
      </c>
      <c r="B304" t="s">
        <v>14</v>
      </c>
      <c r="C304">
        <v>4.8</v>
      </c>
      <c r="D304" t="str">
        <f t="shared" si="12"/>
        <v>Medium</v>
      </c>
      <c r="E304" t="s">
        <v>12</v>
      </c>
      <c r="F304" s="1">
        <v>6.8</v>
      </c>
      <c r="G304" t="str">
        <f t="shared" si="13"/>
        <v>Low</v>
      </c>
      <c r="H304">
        <v>0.8</v>
      </c>
      <c r="I304">
        <v>3</v>
      </c>
      <c r="J304" s="1">
        <v>0.9</v>
      </c>
      <c r="K304" t="str">
        <f t="shared" si="14"/>
        <v>0-1 hours</v>
      </c>
      <c r="L304" t="s">
        <v>13</v>
      </c>
      <c r="M304">
        <v>4</v>
      </c>
      <c r="N304">
        <v>3</v>
      </c>
      <c r="O304">
        <v>4</v>
      </c>
      <c r="P304">
        <v>0</v>
      </c>
    </row>
    <row r="305" spans="1:16" x14ac:dyDescent="0.25">
      <c r="A305">
        <v>13</v>
      </c>
      <c r="B305" t="s">
        <v>11</v>
      </c>
      <c r="C305">
        <v>7.5</v>
      </c>
      <c r="D305" t="str">
        <f t="shared" si="12"/>
        <v>High</v>
      </c>
      <c r="E305" t="s">
        <v>12</v>
      </c>
      <c r="F305" s="1">
        <v>8.6</v>
      </c>
      <c r="G305" t="str">
        <f t="shared" si="13"/>
        <v>Normal</v>
      </c>
      <c r="H305">
        <v>1.9</v>
      </c>
      <c r="I305">
        <v>3.33</v>
      </c>
      <c r="J305" s="1">
        <v>0.9</v>
      </c>
      <c r="K305" t="str">
        <f t="shared" si="14"/>
        <v>0-1 hours</v>
      </c>
      <c r="L305" t="s">
        <v>17</v>
      </c>
      <c r="M305">
        <v>7</v>
      </c>
      <c r="N305">
        <v>3</v>
      </c>
      <c r="O305">
        <v>10</v>
      </c>
      <c r="P305">
        <v>0</v>
      </c>
    </row>
    <row r="306" spans="1:16" x14ac:dyDescent="0.25">
      <c r="A306">
        <v>15</v>
      </c>
      <c r="B306" t="s">
        <v>14</v>
      </c>
      <c r="C306">
        <v>6.7</v>
      </c>
      <c r="D306" t="str">
        <f t="shared" si="12"/>
        <v>Medium</v>
      </c>
      <c r="E306" t="s">
        <v>12</v>
      </c>
      <c r="F306" s="1">
        <v>7</v>
      </c>
      <c r="G306" t="str">
        <f t="shared" si="13"/>
        <v>Low</v>
      </c>
      <c r="H306">
        <v>2.2000000000000002</v>
      </c>
      <c r="I306">
        <v>2.61</v>
      </c>
      <c r="J306" s="1">
        <v>0.7</v>
      </c>
      <c r="K306" t="str">
        <f t="shared" si="14"/>
        <v>0-1 hours</v>
      </c>
      <c r="L306" t="s">
        <v>16</v>
      </c>
      <c r="M306">
        <v>2</v>
      </c>
      <c r="N306">
        <v>7</v>
      </c>
      <c r="O306">
        <v>8</v>
      </c>
      <c r="P306">
        <v>0</v>
      </c>
    </row>
    <row r="307" spans="1:16" x14ac:dyDescent="0.25">
      <c r="A307">
        <v>14</v>
      </c>
      <c r="B307" t="s">
        <v>11</v>
      </c>
      <c r="C307">
        <v>3.8</v>
      </c>
      <c r="D307" t="str">
        <f t="shared" si="12"/>
        <v>Medium</v>
      </c>
      <c r="E307" t="s">
        <v>12</v>
      </c>
      <c r="F307" s="1">
        <v>4.8</v>
      </c>
      <c r="G307" t="str">
        <f t="shared" si="13"/>
        <v>Low</v>
      </c>
      <c r="H307">
        <v>1.9</v>
      </c>
      <c r="I307">
        <v>3.97</v>
      </c>
      <c r="J307" s="1">
        <v>0.2</v>
      </c>
      <c r="K307" t="str">
        <f t="shared" si="14"/>
        <v>0-1 hours</v>
      </c>
      <c r="L307" t="s">
        <v>16</v>
      </c>
      <c r="M307">
        <v>4</v>
      </c>
      <c r="N307">
        <v>6</v>
      </c>
      <c r="O307">
        <v>6</v>
      </c>
      <c r="P307">
        <v>0</v>
      </c>
    </row>
    <row r="308" spans="1:16" x14ac:dyDescent="0.25">
      <c r="A308">
        <v>15</v>
      </c>
      <c r="B308" t="s">
        <v>11</v>
      </c>
      <c r="C308">
        <v>3</v>
      </c>
      <c r="D308" t="str">
        <f t="shared" si="12"/>
        <v>Medium</v>
      </c>
      <c r="E308" t="s">
        <v>12</v>
      </c>
      <c r="F308" s="1">
        <v>8.6</v>
      </c>
      <c r="G308" t="str">
        <f t="shared" si="13"/>
        <v>Normal</v>
      </c>
      <c r="H308">
        <v>1.5</v>
      </c>
      <c r="I308">
        <v>3.27</v>
      </c>
      <c r="J308" s="1">
        <v>0.8</v>
      </c>
      <c r="K308" t="str">
        <f t="shared" si="14"/>
        <v>0-1 hours</v>
      </c>
      <c r="L308" t="s">
        <v>17</v>
      </c>
      <c r="M308">
        <v>10</v>
      </c>
      <c r="N308">
        <v>10</v>
      </c>
      <c r="O308">
        <v>4</v>
      </c>
      <c r="P308">
        <v>0</v>
      </c>
    </row>
    <row r="309" spans="1:16" x14ac:dyDescent="0.25">
      <c r="A309">
        <v>17</v>
      </c>
      <c r="B309" t="s">
        <v>11</v>
      </c>
      <c r="C309">
        <v>7.8</v>
      </c>
      <c r="D309" t="str">
        <f t="shared" si="12"/>
        <v>High</v>
      </c>
      <c r="E309" t="s">
        <v>15</v>
      </c>
      <c r="F309" s="1">
        <v>7.1</v>
      </c>
      <c r="G309" t="str">
        <f t="shared" si="13"/>
        <v>Low</v>
      </c>
      <c r="H309">
        <v>0.8</v>
      </c>
      <c r="I309">
        <v>2.79</v>
      </c>
      <c r="J309" s="1">
        <v>1.4</v>
      </c>
      <c r="K309" t="str">
        <f t="shared" si="14"/>
        <v>1-2 hours</v>
      </c>
      <c r="L309" t="s">
        <v>17</v>
      </c>
      <c r="M309">
        <v>9</v>
      </c>
      <c r="N309">
        <v>4</v>
      </c>
      <c r="O309">
        <v>2</v>
      </c>
      <c r="P309">
        <v>0</v>
      </c>
    </row>
    <row r="310" spans="1:16" x14ac:dyDescent="0.25">
      <c r="A310">
        <v>14</v>
      </c>
      <c r="B310" t="s">
        <v>14</v>
      </c>
      <c r="C310">
        <v>7.8</v>
      </c>
      <c r="D310" t="str">
        <f t="shared" si="12"/>
        <v>High</v>
      </c>
      <c r="E310" t="s">
        <v>12</v>
      </c>
      <c r="F310" s="1">
        <v>4.3</v>
      </c>
      <c r="G310" t="str">
        <f t="shared" si="13"/>
        <v>Low</v>
      </c>
      <c r="H310">
        <v>2.6</v>
      </c>
      <c r="I310">
        <v>3.33</v>
      </c>
      <c r="J310" s="1">
        <v>2</v>
      </c>
      <c r="K310" t="str">
        <f t="shared" si="14"/>
        <v>1-2 hours</v>
      </c>
      <c r="L310" t="s">
        <v>16</v>
      </c>
      <c r="M310">
        <v>3</v>
      </c>
      <c r="N310">
        <v>7</v>
      </c>
      <c r="O310">
        <v>3</v>
      </c>
      <c r="P310">
        <v>0</v>
      </c>
    </row>
    <row r="311" spans="1:16" x14ac:dyDescent="0.25">
      <c r="A311">
        <v>15</v>
      </c>
      <c r="B311" t="s">
        <v>14</v>
      </c>
      <c r="C311">
        <v>6.6</v>
      </c>
      <c r="D311" t="str">
        <f t="shared" si="12"/>
        <v>Medium</v>
      </c>
      <c r="E311" t="s">
        <v>15</v>
      </c>
      <c r="F311" s="1">
        <v>9</v>
      </c>
      <c r="G311" t="str">
        <f t="shared" si="13"/>
        <v>Normal</v>
      </c>
      <c r="H311">
        <v>1.5</v>
      </c>
      <c r="I311">
        <v>3.04</v>
      </c>
      <c r="J311" s="1">
        <v>1.5</v>
      </c>
      <c r="K311" t="str">
        <f t="shared" si="14"/>
        <v>1-2 hours</v>
      </c>
      <c r="L311" t="s">
        <v>13</v>
      </c>
      <c r="M311">
        <v>4</v>
      </c>
      <c r="N311">
        <v>2</v>
      </c>
      <c r="O311">
        <v>7</v>
      </c>
      <c r="P311">
        <v>0</v>
      </c>
    </row>
    <row r="312" spans="1:16" x14ac:dyDescent="0.25">
      <c r="A312">
        <v>13</v>
      </c>
      <c r="B312" t="s">
        <v>14</v>
      </c>
      <c r="C312">
        <v>7.3</v>
      </c>
      <c r="D312" t="str">
        <f t="shared" si="12"/>
        <v>High</v>
      </c>
      <c r="E312" t="s">
        <v>12</v>
      </c>
      <c r="F312" s="1">
        <v>6.4</v>
      </c>
      <c r="G312" t="str">
        <f t="shared" si="13"/>
        <v>Low</v>
      </c>
      <c r="H312">
        <v>2.2999999999999998</v>
      </c>
      <c r="I312">
        <v>2.5299999999999998</v>
      </c>
      <c r="J312" s="1">
        <v>0.7</v>
      </c>
      <c r="K312" t="str">
        <f t="shared" si="14"/>
        <v>0-1 hours</v>
      </c>
      <c r="L312" t="s">
        <v>13</v>
      </c>
      <c r="M312">
        <v>9</v>
      </c>
      <c r="N312">
        <v>9</v>
      </c>
      <c r="O312">
        <v>4</v>
      </c>
      <c r="P312">
        <v>0</v>
      </c>
    </row>
    <row r="313" spans="1:16" x14ac:dyDescent="0.25">
      <c r="A313">
        <v>19</v>
      </c>
      <c r="B313" t="s">
        <v>11</v>
      </c>
      <c r="C313">
        <v>6.6</v>
      </c>
      <c r="D313" t="str">
        <f t="shared" si="12"/>
        <v>Medium</v>
      </c>
      <c r="E313" t="s">
        <v>12</v>
      </c>
      <c r="F313" s="1">
        <v>4.4000000000000004</v>
      </c>
      <c r="G313" t="str">
        <f t="shared" si="13"/>
        <v>Low</v>
      </c>
      <c r="H313">
        <v>1.1000000000000001</v>
      </c>
      <c r="I313">
        <v>2.29</v>
      </c>
      <c r="J313" s="1">
        <v>1</v>
      </c>
      <c r="K313" t="str">
        <f t="shared" si="14"/>
        <v>0-1 hours</v>
      </c>
      <c r="L313" t="s">
        <v>13</v>
      </c>
      <c r="M313">
        <v>6</v>
      </c>
      <c r="N313">
        <v>8</v>
      </c>
      <c r="O313">
        <v>5</v>
      </c>
      <c r="P313">
        <v>0</v>
      </c>
    </row>
    <row r="314" spans="1:16" x14ac:dyDescent="0.25">
      <c r="A314">
        <v>19</v>
      </c>
      <c r="B314" t="s">
        <v>14</v>
      </c>
      <c r="C314">
        <v>5.6</v>
      </c>
      <c r="D314" t="str">
        <f t="shared" si="12"/>
        <v>Medium</v>
      </c>
      <c r="E314" t="s">
        <v>15</v>
      </c>
      <c r="F314" s="1">
        <v>8.1</v>
      </c>
      <c r="G314" t="str">
        <f t="shared" si="13"/>
        <v>Normal</v>
      </c>
      <c r="H314">
        <v>3</v>
      </c>
      <c r="I314">
        <v>2.75</v>
      </c>
      <c r="J314" s="1">
        <v>0.7</v>
      </c>
      <c r="K314" t="str">
        <f t="shared" si="14"/>
        <v>0-1 hours</v>
      </c>
      <c r="L314" t="s">
        <v>17</v>
      </c>
      <c r="M314">
        <v>6</v>
      </c>
      <c r="N314">
        <v>3</v>
      </c>
      <c r="O314">
        <v>4</v>
      </c>
      <c r="P314">
        <v>0</v>
      </c>
    </row>
    <row r="315" spans="1:16" x14ac:dyDescent="0.25">
      <c r="A315">
        <v>13</v>
      </c>
      <c r="B315" t="s">
        <v>14</v>
      </c>
      <c r="C315">
        <v>8</v>
      </c>
      <c r="D315" t="str">
        <f t="shared" si="12"/>
        <v>High</v>
      </c>
      <c r="E315" t="s">
        <v>12</v>
      </c>
      <c r="F315" s="1">
        <v>5.4</v>
      </c>
      <c r="G315" t="str">
        <f t="shared" si="13"/>
        <v>Low</v>
      </c>
      <c r="H315">
        <v>2.8</v>
      </c>
      <c r="I315">
        <v>3.1</v>
      </c>
      <c r="J315" s="1">
        <v>1.9</v>
      </c>
      <c r="K315" t="str">
        <f t="shared" si="14"/>
        <v>1-2 hours</v>
      </c>
      <c r="L315" t="s">
        <v>16</v>
      </c>
      <c r="M315">
        <v>6</v>
      </c>
      <c r="N315">
        <v>10</v>
      </c>
      <c r="O315">
        <v>10</v>
      </c>
      <c r="P315">
        <v>0</v>
      </c>
    </row>
    <row r="316" spans="1:16" x14ac:dyDescent="0.25">
      <c r="A316">
        <v>13</v>
      </c>
      <c r="B316" t="s">
        <v>14</v>
      </c>
      <c r="C316">
        <v>1.3</v>
      </c>
      <c r="D316" t="str">
        <f t="shared" si="12"/>
        <v>Low</v>
      </c>
      <c r="E316" t="s">
        <v>12</v>
      </c>
      <c r="F316" s="1">
        <v>8.9</v>
      </c>
      <c r="G316" t="str">
        <f t="shared" si="13"/>
        <v>Normal</v>
      </c>
      <c r="H316">
        <v>2.6</v>
      </c>
      <c r="I316">
        <v>3.54</v>
      </c>
      <c r="J316" s="1">
        <v>1.2</v>
      </c>
      <c r="K316" t="str">
        <f t="shared" si="14"/>
        <v>1-2 hours</v>
      </c>
      <c r="L316" t="s">
        <v>16</v>
      </c>
      <c r="M316">
        <v>8</v>
      </c>
      <c r="N316">
        <v>5</v>
      </c>
      <c r="O316">
        <v>2</v>
      </c>
      <c r="P316">
        <v>0</v>
      </c>
    </row>
    <row r="317" spans="1:16" x14ac:dyDescent="0.25">
      <c r="A317">
        <v>15</v>
      </c>
      <c r="B317" t="s">
        <v>14</v>
      </c>
      <c r="C317">
        <v>5.9</v>
      </c>
      <c r="D317" t="str">
        <f t="shared" si="12"/>
        <v>Medium</v>
      </c>
      <c r="E317" t="s">
        <v>18</v>
      </c>
      <c r="F317" s="1">
        <v>6.9</v>
      </c>
      <c r="G317" t="str">
        <f t="shared" si="13"/>
        <v>Low</v>
      </c>
      <c r="H317">
        <v>1.4</v>
      </c>
      <c r="I317">
        <v>3.62</v>
      </c>
      <c r="J317" s="1">
        <v>1.5</v>
      </c>
      <c r="K317" t="str">
        <f t="shared" si="14"/>
        <v>1-2 hours</v>
      </c>
      <c r="L317" t="s">
        <v>17</v>
      </c>
      <c r="M317">
        <v>3</v>
      </c>
      <c r="N317">
        <v>9</v>
      </c>
      <c r="O317">
        <v>1</v>
      </c>
      <c r="P317">
        <v>0</v>
      </c>
    </row>
    <row r="318" spans="1:16" x14ac:dyDescent="0.25">
      <c r="A318">
        <v>14</v>
      </c>
      <c r="B318" t="s">
        <v>14</v>
      </c>
      <c r="C318">
        <v>2</v>
      </c>
      <c r="D318" t="str">
        <f t="shared" si="12"/>
        <v>Medium</v>
      </c>
      <c r="E318" t="s">
        <v>12</v>
      </c>
      <c r="F318" s="1">
        <v>8.8000000000000007</v>
      </c>
      <c r="G318" t="str">
        <f t="shared" si="13"/>
        <v>Normal</v>
      </c>
      <c r="H318">
        <v>0.9</v>
      </c>
      <c r="I318">
        <v>3.61</v>
      </c>
      <c r="J318" s="1">
        <v>0.7</v>
      </c>
      <c r="K318" t="str">
        <f t="shared" si="14"/>
        <v>0-1 hours</v>
      </c>
      <c r="L318" t="s">
        <v>16</v>
      </c>
      <c r="M318">
        <v>10</v>
      </c>
      <c r="N318">
        <v>2</v>
      </c>
      <c r="O318">
        <v>3</v>
      </c>
      <c r="P318">
        <v>0</v>
      </c>
    </row>
    <row r="319" spans="1:16" x14ac:dyDescent="0.25">
      <c r="A319">
        <v>19</v>
      </c>
      <c r="B319" t="s">
        <v>14</v>
      </c>
      <c r="C319">
        <v>1.4</v>
      </c>
      <c r="D319" t="str">
        <f t="shared" si="12"/>
        <v>Low</v>
      </c>
      <c r="E319" t="s">
        <v>12</v>
      </c>
      <c r="F319" s="1">
        <v>6.6</v>
      </c>
      <c r="G319" t="str">
        <f t="shared" si="13"/>
        <v>Low</v>
      </c>
      <c r="H319">
        <v>1.8</v>
      </c>
      <c r="I319">
        <v>3.07</v>
      </c>
      <c r="J319" s="1">
        <v>0</v>
      </c>
      <c r="K319" t="str">
        <f t="shared" si="14"/>
        <v>No activity</v>
      </c>
      <c r="L319" t="s">
        <v>13</v>
      </c>
      <c r="M319">
        <v>5</v>
      </c>
      <c r="N319">
        <v>2</v>
      </c>
      <c r="O319">
        <v>6</v>
      </c>
      <c r="P319">
        <v>0</v>
      </c>
    </row>
    <row r="320" spans="1:16" x14ac:dyDescent="0.25">
      <c r="A320">
        <v>13</v>
      </c>
      <c r="B320" t="s">
        <v>14</v>
      </c>
      <c r="C320">
        <v>6.4</v>
      </c>
      <c r="D320" t="str">
        <f t="shared" si="12"/>
        <v>Medium</v>
      </c>
      <c r="E320" t="s">
        <v>18</v>
      </c>
      <c r="F320" s="1">
        <v>6.7</v>
      </c>
      <c r="G320" t="str">
        <f t="shared" si="13"/>
        <v>Low</v>
      </c>
      <c r="H320">
        <v>0.8</v>
      </c>
      <c r="I320">
        <v>3.9</v>
      </c>
      <c r="J320" s="1">
        <v>1.9</v>
      </c>
      <c r="K320" t="str">
        <f t="shared" si="14"/>
        <v>1-2 hours</v>
      </c>
      <c r="L320" t="s">
        <v>16</v>
      </c>
      <c r="M320">
        <v>3</v>
      </c>
      <c r="N320">
        <v>3</v>
      </c>
      <c r="O320">
        <v>10</v>
      </c>
      <c r="P320">
        <v>0</v>
      </c>
    </row>
    <row r="321" spans="1:16" x14ac:dyDescent="0.25">
      <c r="A321">
        <v>15</v>
      </c>
      <c r="B321" t="s">
        <v>11</v>
      </c>
      <c r="C321">
        <v>7.6</v>
      </c>
      <c r="D321" t="str">
        <f t="shared" si="12"/>
        <v>High</v>
      </c>
      <c r="E321" t="s">
        <v>15</v>
      </c>
      <c r="F321" s="1">
        <v>7.9</v>
      </c>
      <c r="G321" t="str">
        <f t="shared" si="13"/>
        <v>Low</v>
      </c>
      <c r="H321">
        <v>0.8</v>
      </c>
      <c r="I321">
        <v>3.55</v>
      </c>
      <c r="J321" s="1">
        <v>1.9</v>
      </c>
      <c r="K321" t="str">
        <f t="shared" si="14"/>
        <v>1-2 hours</v>
      </c>
      <c r="L321" t="s">
        <v>16</v>
      </c>
      <c r="M321">
        <v>10</v>
      </c>
      <c r="N321">
        <v>8</v>
      </c>
      <c r="O321">
        <v>6</v>
      </c>
      <c r="P321">
        <v>0</v>
      </c>
    </row>
    <row r="322" spans="1:16" x14ac:dyDescent="0.25">
      <c r="A322">
        <v>16</v>
      </c>
      <c r="B322" t="s">
        <v>11</v>
      </c>
      <c r="C322">
        <v>7.9</v>
      </c>
      <c r="D322" t="str">
        <f t="shared" ref="D322:D385" si="15">IF(C322&lt;2,"Low",IF(C322&lt;7,"Medium","High"))</f>
        <v>High</v>
      </c>
      <c r="E322" t="s">
        <v>18</v>
      </c>
      <c r="F322" s="1">
        <v>5.5</v>
      </c>
      <c r="G322" t="str">
        <f t="shared" ref="G322:G385" si="16">IF(F322&gt;=8,"Normal","Low")</f>
        <v>Low</v>
      </c>
      <c r="H322">
        <v>0.6</v>
      </c>
      <c r="I322">
        <v>3.65</v>
      </c>
      <c r="J322" s="1">
        <v>1.4</v>
      </c>
      <c r="K322" t="str">
        <f t="shared" ref="K322:K385" si="17">IF(J322=0,"No activity",IF(J322&lt;=1,"0-1 hours","1-2 hours"))</f>
        <v>1-2 hours</v>
      </c>
      <c r="L322" t="s">
        <v>13</v>
      </c>
      <c r="M322">
        <v>1</v>
      </c>
      <c r="N322">
        <v>4</v>
      </c>
      <c r="O322">
        <v>1</v>
      </c>
      <c r="P322">
        <v>0</v>
      </c>
    </row>
    <row r="323" spans="1:16" x14ac:dyDescent="0.25">
      <c r="A323">
        <v>15</v>
      </c>
      <c r="B323" t="s">
        <v>11</v>
      </c>
      <c r="C323">
        <v>5.0999999999999996</v>
      </c>
      <c r="D323" t="str">
        <f t="shared" si="15"/>
        <v>Medium</v>
      </c>
      <c r="E323" t="s">
        <v>12</v>
      </c>
      <c r="F323" s="1">
        <v>4.0999999999999996</v>
      </c>
      <c r="G323" t="str">
        <f t="shared" si="16"/>
        <v>Low</v>
      </c>
      <c r="H323">
        <v>2.8</v>
      </c>
      <c r="I323">
        <v>3.79</v>
      </c>
      <c r="J323" s="1">
        <v>0.8</v>
      </c>
      <c r="K323" t="str">
        <f t="shared" si="17"/>
        <v>0-1 hours</v>
      </c>
      <c r="L323" t="s">
        <v>17</v>
      </c>
      <c r="M323">
        <v>9</v>
      </c>
      <c r="N323">
        <v>7</v>
      </c>
      <c r="O323">
        <v>3</v>
      </c>
      <c r="P323">
        <v>1</v>
      </c>
    </row>
    <row r="324" spans="1:16" x14ac:dyDescent="0.25">
      <c r="A324">
        <v>18</v>
      </c>
      <c r="B324" t="s">
        <v>11</v>
      </c>
      <c r="C324">
        <v>6.4</v>
      </c>
      <c r="D324" t="str">
        <f t="shared" si="15"/>
        <v>Medium</v>
      </c>
      <c r="E324" t="s">
        <v>15</v>
      </c>
      <c r="F324" s="1">
        <v>7.4</v>
      </c>
      <c r="G324" t="str">
        <f t="shared" si="16"/>
        <v>Low</v>
      </c>
      <c r="H324">
        <v>1.5</v>
      </c>
      <c r="I324">
        <v>2.92</v>
      </c>
      <c r="J324" s="1">
        <v>0.6</v>
      </c>
      <c r="K324" t="str">
        <f t="shared" si="17"/>
        <v>0-1 hours</v>
      </c>
      <c r="L324" t="s">
        <v>13</v>
      </c>
      <c r="M324">
        <v>9</v>
      </c>
      <c r="N324">
        <v>2</v>
      </c>
      <c r="O324">
        <v>5</v>
      </c>
      <c r="P324">
        <v>0</v>
      </c>
    </row>
    <row r="325" spans="1:16" x14ac:dyDescent="0.25">
      <c r="A325">
        <v>13</v>
      </c>
      <c r="B325" t="s">
        <v>14</v>
      </c>
      <c r="C325">
        <v>7.2</v>
      </c>
      <c r="D325" t="str">
        <f t="shared" si="15"/>
        <v>High</v>
      </c>
      <c r="E325" t="s">
        <v>18</v>
      </c>
      <c r="F325" s="1">
        <v>6.7</v>
      </c>
      <c r="G325" t="str">
        <f t="shared" si="16"/>
        <v>Low</v>
      </c>
      <c r="H325">
        <v>0.9</v>
      </c>
      <c r="I325">
        <v>2.36</v>
      </c>
      <c r="J325" s="1">
        <v>0.6</v>
      </c>
      <c r="K325" t="str">
        <f t="shared" si="17"/>
        <v>0-1 hours</v>
      </c>
      <c r="L325" t="s">
        <v>13</v>
      </c>
      <c r="M325">
        <v>8</v>
      </c>
      <c r="N325">
        <v>8</v>
      </c>
      <c r="O325">
        <v>1</v>
      </c>
      <c r="P325">
        <v>0</v>
      </c>
    </row>
    <row r="326" spans="1:16" x14ac:dyDescent="0.25">
      <c r="A326">
        <v>18</v>
      </c>
      <c r="B326" t="s">
        <v>14</v>
      </c>
      <c r="C326">
        <v>2.9</v>
      </c>
      <c r="D326" t="str">
        <f t="shared" si="15"/>
        <v>Medium</v>
      </c>
      <c r="E326" t="s">
        <v>18</v>
      </c>
      <c r="F326" s="1">
        <v>4.5999999999999996</v>
      </c>
      <c r="G326" t="str">
        <f t="shared" si="16"/>
        <v>Low</v>
      </c>
      <c r="H326">
        <v>2.2999999999999998</v>
      </c>
      <c r="I326">
        <v>3.03</v>
      </c>
      <c r="J326" s="1">
        <v>0.3</v>
      </c>
      <c r="K326" t="str">
        <f t="shared" si="17"/>
        <v>0-1 hours</v>
      </c>
      <c r="L326" t="s">
        <v>13</v>
      </c>
      <c r="M326">
        <v>6</v>
      </c>
      <c r="N326">
        <v>1</v>
      </c>
      <c r="O326">
        <v>9</v>
      </c>
      <c r="P326">
        <v>0</v>
      </c>
    </row>
    <row r="327" spans="1:16" x14ac:dyDescent="0.25">
      <c r="A327">
        <v>19</v>
      </c>
      <c r="B327" t="s">
        <v>11</v>
      </c>
      <c r="C327">
        <v>1.5</v>
      </c>
      <c r="D327" t="str">
        <f t="shared" si="15"/>
        <v>Low</v>
      </c>
      <c r="E327" t="s">
        <v>12</v>
      </c>
      <c r="F327" s="1">
        <v>7.3</v>
      </c>
      <c r="G327" t="str">
        <f t="shared" si="16"/>
        <v>Low</v>
      </c>
      <c r="H327">
        <v>2.7</v>
      </c>
      <c r="I327">
        <v>2.61</v>
      </c>
      <c r="J327" s="1">
        <v>0.9</v>
      </c>
      <c r="K327" t="str">
        <f t="shared" si="17"/>
        <v>0-1 hours</v>
      </c>
      <c r="L327" t="s">
        <v>13</v>
      </c>
      <c r="M327">
        <v>5</v>
      </c>
      <c r="N327">
        <v>7</v>
      </c>
      <c r="O327">
        <v>10</v>
      </c>
      <c r="P327">
        <v>0</v>
      </c>
    </row>
    <row r="328" spans="1:16" x14ac:dyDescent="0.25">
      <c r="A328">
        <v>14</v>
      </c>
      <c r="B328" t="s">
        <v>11</v>
      </c>
      <c r="C328">
        <v>5.4</v>
      </c>
      <c r="D328" t="str">
        <f t="shared" si="15"/>
        <v>Medium</v>
      </c>
      <c r="E328" t="s">
        <v>18</v>
      </c>
      <c r="F328" s="1">
        <v>8.1</v>
      </c>
      <c r="G328" t="str">
        <f t="shared" si="16"/>
        <v>Normal</v>
      </c>
      <c r="H328">
        <v>1.8</v>
      </c>
      <c r="I328">
        <v>2.5299999999999998</v>
      </c>
      <c r="J328" s="1">
        <v>0.9</v>
      </c>
      <c r="K328" t="str">
        <f t="shared" si="17"/>
        <v>0-1 hours</v>
      </c>
      <c r="L328" t="s">
        <v>17</v>
      </c>
      <c r="M328">
        <v>5</v>
      </c>
      <c r="N328">
        <v>8</v>
      </c>
      <c r="O328">
        <v>8</v>
      </c>
      <c r="P328">
        <v>0</v>
      </c>
    </row>
    <row r="329" spans="1:16" x14ac:dyDescent="0.25">
      <c r="A329">
        <v>13</v>
      </c>
      <c r="B329" t="s">
        <v>11</v>
      </c>
      <c r="C329">
        <v>7.2</v>
      </c>
      <c r="D329" t="str">
        <f t="shared" si="15"/>
        <v>High</v>
      </c>
      <c r="E329" t="s">
        <v>15</v>
      </c>
      <c r="F329" s="1">
        <v>4.0999999999999996</v>
      </c>
      <c r="G329" t="str">
        <f t="shared" si="16"/>
        <v>Low</v>
      </c>
      <c r="H329">
        <v>1.3</v>
      </c>
      <c r="I329">
        <v>2.4900000000000002</v>
      </c>
      <c r="J329" s="1">
        <v>1.8</v>
      </c>
      <c r="K329" t="str">
        <f t="shared" si="17"/>
        <v>1-2 hours</v>
      </c>
      <c r="L329" t="s">
        <v>17</v>
      </c>
      <c r="M329">
        <v>5</v>
      </c>
      <c r="N329">
        <v>5</v>
      </c>
      <c r="O329">
        <v>4</v>
      </c>
      <c r="P329">
        <v>0</v>
      </c>
    </row>
    <row r="330" spans="1:16" x14ac:dyDescent="0.25">
      <c r="A330">
        <v>15</v>
      </c>
      <c r="B330" t="s">
        <v>14</v>
      </c>
      <c r="C330">
        <v>7</v>
      </c>
      <c r="D330" t="str">
        <f t="shared" si="15"/>
        <v>High</v>
      </c>
      <c r="E330" t="s">
        <v>12</v>
      </c>
      <c r="F330" s="1">
        <v>5.9</v>
      </c>
      <c r="G330" t="str">
        <f t="shared" si="16"/>
        <v>Low</v>
      </c>
      <c r="H330">
        <v>1.3</v>
      </c>
      <c r="I330">
        <v>2.91</v>
      </c>
      <c r="J330" s="1">
        <v>1.2</v>
      </c>
      <c r="K330" t="str">
        <f t="shared" si="17"/>
        <v>1-2 hours</v>
      </c>
      <c r="L330" t="s">
        <v>13</v>
      </c>
      <c r="M330">
        <v>10</v>
      </c>
      <c r="N330">
        <v>2</v>
      </c>
      <c r="O330">
        <v>6</v>
      </c>
      <c r="P330">
        <v>0</v>
      </c>
    </row>
    <row r="331" spans="1:16" x14ac:dyDescent="0.25">
      <c r="A331">
        <v>17</v>
      </c>
      <c r="B331" t="s">
        <v>14</v>
      </c>
      <c r="C331">
        <v>7.5</v>
      </c>
      <c r="D331" t="str">
        <f t="shared" si="15"/>
        <v>High</v>
      </c>
      <c r="E331" t="s">
        <v>15</v>
      </c>
      <c r="F331" s="1">
        <v>6.7</v>
      </c>
      <c r="G331" t="str">
        <f t="shared" si="16"/>
        <v>Low</v>
      </c>
      <c r="H331">
        <v>1.1000000000000001</v>
      </c>
      <c r="I331">
        <v>3.77</v>
      </c>
      <c r="J331" s="1">
        <v>0.6</v>
      </c>
      <c r="K331" t="str">
        <f t="shared" si="17"/>
        <v>0-1 hours</v>
      </c>
      <c r="L331" t="s">
        <v>16</v>
      </c>
      <c r="M331">
        <v>3</v>
      </c>
      <c r="N331">
        <v>8</v>
      </c>
      <c r="O331">
        <v>6</v>
      </c>
      <c r="P331">
        <v>0</v>
      </c>
    </row>
    <row r="332" spans="1:16" x14ac:dyDescent="0.25">
      <c r="A332">
        <v>14</v>
      </c>
      <c r="B332" t="s">
        <v>11</v>
      </c>
      <c r="C332">
        <v>1.4</v>
      </c>
      <c r="D332" t="str">
        <f t="shared" si="15"/>
        <v>Low</v>
      </c>
      <c r="E332" t="s">
        <v>18</v>
      </c>
      <c r="F332" s="1">
        <v>7</v>
      </c>
      <c r="G332" t="str">
        <f t="shared" si="16"/>
        <v>Low</v>
      </c>
      <c r="H332">
        <v>1.8</v>
      </c>
      <c r="I332">
        <v>2.69</v>
      </c>
      <c r="J332" s="1">
        <v>0.9</v>
      </c>
      <c r="K332" t="str">
        <f t="shared" si="17"/>
        <v>0-1 hours</v>
      </c>
      <c r="L332" t="s">
        <v>13</v>
      </c>
      <c r="M332">
        <v>10</v>
      </c>
      <c r="N332">
        <v>4</v>
      </c>
      <c r="O332">
        <v>2</v>
      </c>
      <c r="P332">
        <v>0</v>
      </c>
    </row>
    <row r="333" spans="1:16" x14ac:dyDescent="0.25">
      <c r="A333">
        <v>16</v>
      </c>
      <c r="B333" t="s">
        <v>14</v>
      </c>
      <c r="C333">
        <v>6.1</v>
      </c>
      <c r="D333" t="str">
        <f t="shared" si="15"/>
        <v>Medium</v>
      </c>
      <c r="E333" t="s">
        <v>12</v>
      </c>
      <c r="F333" s="1">
        <v>8.1</v>
      </c>
      <c r="G333" t="str">
        <f t="shared" si="16"/>
        <v>Normal</v>
      </c>
      <c r="H333">
        <v>1.4</v>
      </c>
      <c r="I333">
        <v>3.27</v>
      </c>
      <c r="J333" s="1">
        <v>1.6</v>
      </c>
      <c r="K333" t="str">
        <f t="shared" si="17"/>
        <v>1-2 hours</v>
      </c>
      <c r="L333" t="s">
        <v>13</v>
      </c>
      <c r="M333">
        <v>10</v>
      </c>
      <c r="N333">
        <v>1</v>
      </c>
      <c r="O333">
        <v>4</v>
      </c>
      <c r="P333">
        <v>0</v>
      </c>
    </row>
    <row r="334" spans="1:16" x14ac:dyDescent="0.25">
      <c r="A334">
        <v>16</v>
      </c>
      <c r="B334" t="s">
        <v>14</v>
      </c>
      <c r="C334">
        <v>1.4</v>
      </c>
      <c r="D334" t="str">
        <f t="shared" si="15"/>
        <v>Low</v>
      </c>
      <c r="E334" t="s">
        <v>18</v>
      </c>
      <c r="F334" s="1">
        <v>5.2</v>
      </c>
      <c r="G334" t="str">
        <f t="shared" si="16"/>
        <v>Low</v>
      </c>
      <c r="H334">
        <v>1.7</v>
      </c>
      <c r="I334">
        <v>3.82</v>
      </c>
      <c r="J334" s="1">
        <v>0.7</v>
      </c>
      <c r="K334" t="str">
        <f t="shared" si="17"/>
        <v>0-1 hours</v>
      </c>
      <c r="L334" t="s">
        <v>13</v>
      </c>
      <c r="M334">
        <v>10</v>
      </c>
      <c r="N334">
        <v>4</v>
      </c>
      <c r="O334">
        <v>3</v>
      </c>
      <c r="P334">
        <v>0</v>
      </c>
    </row>
    <row r="335" spans="1:16" x14ac:dyDescent="0.25">
      <c r="A335">
        <v>13</v>
      </c>
      <c r="B335" t="s">
        <v>11</v>
      </c>
      <c r="C335">
        <v>5.4</v>
      </c>
      <c r="D335" t="str">
        <f t="shared" si="15"/>
        <v>Medium</v>
      </c>
      <c r="E335" t="s">
        <v>12</v>
      </c>
      <c r="F335" s="1">
        <v>4.0999999999999996</v>
      </c>
      <c r="G335" t="str">
        <f t="shared" si="16"/>
        <v>Low</v>
      </c>
      <c r="H335">
        <v>2</v>
      </c>
      <c r="I335">
        <v>3.82</v>
      </c>
      <c r="J335" s="1">
        <v>1.9</v>
      </c>
      <c r="K335" t="str">
        <f t="shared" si="17"/>
        <v>1-2 hours</v>
      </c>
      <c r="L335" t="s">
        <v>17</v>
      </c>
      <c r="M335">
        <v>6</v>
      </c>
      <c r="N335">
        <v>10</v>
      </c>
      <c r="O335">
        <v>8</v>
      </c>
      <c r="P335">
        <v>0</v>
      </c>
    </row>
    <row r="336" spans="1:16" x14ac:dyDescent="0.25">
      <c r="A336">
        <v>13</v>
      </c>
      <c r="B336" t="s">
        <v>14</v>
      </c>
      <c r="C336">
        <v>2.1</v>
      </c>
      <c r="D336" t="str">
        <f t="shared" si="15"/>
        <v>Medium</v>
      </c>
      <c r="E336" t="s">
        <v>12</v>
      </c>
      <c r="F336" s="1">
        <v>8.1999999999999993</v>
      </c>
      <c r="G336" t="str">
        <f t="shared" si="16"/>
        <v>Normal</v>
      </c>
      <c r="H336">
        <v>0.9</v>
      </c>
      <c r="I336">
        <v>2.48</v>
      </c>
      <c r="J336" s="1">
        <v>0.5</v>
      </c>
      <c r="K336" t="str">
        <f t="shared" si="17"/>
        <v>0-1 hours</v>
      </c>
      <c r="L336" t="s">
        <v>16</v>
      </c>
      <c r="M336">
        <v>2</v>
      </c>
      <c r="N336">
        <v>7</v>
      </c>
      <c r="O336">
        <v>6</v>
      </c>
      <c r="P336">
        <v>0</v>
      </c>
    </row>
    <row r="337" spans="1:16" x14ac:dyDescent="0.25">
      <c r="A337">
        <v>14</v>
      </c>
      <c r="B337" t="s">
        <v>11</v>
      </c>
      <c r="C337">
        <v>5</v>
      </c>
      <c r="D337" t="str">
        <f t="shared" si="15"/>
        <v>Medium</v>
      </c>
      <c r="E337" t="s">
        <v>18</v>
      </c>
      <c r="F337" s="1">
        <v>4.3</v>
      </c>
      <c r="G337" t="str">
        <f t="shared" si="16"/>
        <v>Low</v>
      </c>
      <c r="H337">
        <v>1.1000000000000001</v>
      </c>
      <c r="I337">
        <v>3.8</v>
      </c>
      <c r="J337" s="1">
        <v>0.4</v>
      </c>
      <c r="K337" t="str">
        <f t="shared" si="17"/>
        <v>0-1 hours</v>
      </c>
      <c r="L337" t="s">
        <v>17</v>
      </c>
      <c r="M337">
        <v>9</v>
      </c>
      <c r="N337">
        <v>4</v>
      </c>
      <c r="O337">
        <v>10</v>
      </c>
      <c r="P337">
        <v>0</v>
      </c>
    </row>
    <row r="338" spans="1:16" x14ac:dyDescent="0.25">
      <c r="A338">
        <v>13</v>
      </c>
      <c r="B338" t="s">
        <v>14</v>
      </c>
      <c r="C338">
        <v>4.4000000000000004</v>
      </c>
      <c r="D338" t="str">
        <f t="shared" si="15"/>
        <v>Medium</v>
      </c>
      <c r="E338" t="s">
        <v>12</v>
      </c>
      <c r="F338" s="1">
        <v>4.3</v>
      </c>
      <c r="G338" t="str">
        <f t="shared" si="16"/>
        <v>Low</v>
      </c>
      <c r="H338">
        <v>1.9</v>
      </c>
      <c r="I338">
        <v>3.51</v>
      </c>
      <c r="J338" s="1">
        <v>0.9</v>
      </c>
      <c r="K338" t="str">
        <f t="shared" si="17"/>
        <v>0-1 hours</v>
      </c>
      <c r="L338" t="s">
        <v>17</v>
      </c>
      <c r="M338">
        <v>8</v>
      </c>
      <c r="N338">
        <v>4</v>
      </c>
      <c r="O338">
        <v>3</v>
      </c>
      <c r="P338">
        <v>0</v>
      </c>
    </row>
    <row r="339" spans="1:16" x14ac:dyDescent="0.25">
      <c r="A339">
        <v>13</v>
      </c>
      <c r="B339" t="s">
        <v>11</v>
      </c>
      <c r="C339">
        <v>3.4</v>
      </c>
      <c r="D339" t="str">
        <f t="shared" si="15"/>
        <v>Medium</v>
      </c>
      <c r="E339" t="s">
        <v>18</v>
      </c>
      <c r="F339" s="1">
        <v>8.6</v>
      </c>
      <c r="G339" t="str">
        <f t="shared" si="16"/>
        <v>Normal</v>
      </c>
      <c r="H339">
        <v>0.8</v>
      </c>
      <c r="I339">
        <v>3.08</v>
      </c>
      <c r="J339" s="1">
        <v>0.4</v>
      </c>
      <c r="K339" t="str">
        <f t="shared" si="17"/>
        <v>0-1 hours</v>
      </c>
      <c r="L339" t="s">
        <v>13</v>
      </c>
      <c r="M339">
        <v>7</v>
      </c>
      <c r="N339">
        <v>10</v>
      </c>
      <c r="O339">
        <v>6</v>
      </c>
      <c r="P339">
        <v>0</v>
      </c>
    </row>
    <row r="340" spans="1:16" x14ac:dyDescent="0.25">
      <c r="A340">
        <v>18</v>
      </c>
      <c r="B340" t="s">
        <v>11</v>
      </c>
      <c r="C340">
        <v>1.2</v>
      </c>
      <c r="D340" t="str">
        <f t="shared" si="15"/>
        <v>Low</v>
      </c>
      <c r="E340" t="s">
        <v>12</v>
      </c>
      <c r="F340" s="1">
        <v>6.4</v>
      </c>
      <c r="G340" t="str">
        <f t="shared" si="16"/>
        <v>Low</v>
      </c>
      <c r="H340">
        <v>1.3</v>
      </c>
      <c r="I340">
        <v>3.03</v>
      </c>
      <c r="J340" s="1">
        <v>1</v>
      </c>
      <c r="K340" t="str">
        <f t="shared" si="17"/>
        <v>0-1 hours</v>
      </c>
      <c r="L340" t="s">
        <v>13</v>
      </c>
      <c r="M340">
        <v>5</v>
      </c>
      <c r="N340">
        <v>9</v>
      </c>
      <c r="O340">
        <v>10</v>
      </c>
      <c r="P340">
        <v>0</v>
      </c>
    </row>
    <row r="341" spans="1:16" x14ac:dyDescent="0.25">
      <c r="A341">
        <v>14</v>
      </c>
      <c r="B341" t="s">
        <v>11</v>
      </c>
      <c r="C341">
        <v>5.5</v>
      </c>
      <c r="D341" t="str">
        <f t="shared" si="15"/>
        <v>Medium</v>
      </c>
      <c r="E341" t="s">
        <v>15</v>
      </c>
      <c r="F341" s="1">
        <v>7.3</v>
      </c>
      <c r="G341" t="str">
        <f t="shared" si="16"/>
        <v>Low</v>
      </c>
      <c r="H341">
        <v>1.4</v>
      </c>
      <c r="I341">
        <v>2.61</v>
      </c>
      <c r="J341" s="1">
        <v>1.2</v>
      </c>
      <c r="K341" t="str">
        <f t="shared" si="17"/>
        <v>1-2 hours</v>
      </c>
      <c r="L341" t="s">
        <v>16</v>
      </c>
      <c r="M341">
        <v>5</v>
      </c>
      <c r="N341">
        <v>7</v>
      </c>
      <c r="O341">
        <v>1</v>
      </c>
      <c r="P341">
        <v>0</v>
      </c>
    </row>
    <row r="342" spans="1:16" x14ac:dyDescent="0.25">
      <c r="A342">
        <v>15</v>
      </c>
      <c r="B342" t="s">
        <v>11</v>
      </c>
      <c r="C342">
        <v>2.2999999999999998</v>
      </c>
      <c r="D342" t="str">
        <f t="shared" si="15"/>
        <v>Medium</v>
      </c>
      <c r="E342" t="s">
        <v>18</v>
      </c>
      <c r="F342" s="1">
        <v>7.8</v>
      </c>
      <c r="G342" t="str">
        <f t="shared" si="16"/>
        <v>Low</v>
      </c>
      <c r="H342">
        <v>3</v>
      </c>
      <c r="I342">
        <v>2.2999999999999998</v>
      </c>
      <c r="J342" s="1">
        <v>1.4</v>
      </c>
      <c r="K342" t="str">
        <f t="shared" si="17"/>
        <v>1-2 hours</v>
      </c>
      <c r="L342" t="s">
        <v>17</v>
      </c>
      <c r="M342">
        <v>4</v>
      </c>
      <c r="N342">
        <v>9</v>
      </c>
      <c r="O342">
        <v>10</v>
      </c>
      <c r="P342">
        <v>0</v>
      </c>
    </row>
    <row r="343" spans="1:16" x14ac:dyDescent="0.25">
      <c r="A343">
        <v>13</v>
      </c>
      <c r="B343" t="s">
        <v>14</v>
      </c>
      <c r="C343">
        <v>1.4</v>
      </c>
      <c r="D343" t="str">
        <f t="shared" si="15"/>
        <v>Low</v>
      </c>
      <c r="E343" t="s">
        <v>18</v>
      </c>
      <c r="F343" s="1">
        <v>7.4</v>
      </c>
      <c r="G343" t="str">
        <f t="shared" si="16"/>
        <v>Low</v>
      </c>
      <c r="H343">
        <v>0.5</v>
      </c>
      <c r="I343">
        <v>2.3199999999999998</v>
      </c>
      <c r="J343" s="1">
        <v>1.3</v>
      </c>
      <c r="K343" t="str">
        <f t="shared" si="17"/>
        <v>1-2 hours</v>
      </c>
      <c r="L343" t="s">
        <v>13</v>
      </c>
      <c r="M343">
        <v>3</v>
      </c>
      <c r="N343">
        <v>2</v>
      </c>
      <c r="O343">
        <v>6</v>
      </c>
      <c r="P343">
        <v>0</v>
      </c>
    </row>
    <row r="344" spans="1:16" x14ac:dyDescent="0.25">
      <c r="A344">
        <v>13</v>
      </c>
      <c r="B344" t="s">
        <v>14</v>
      </c>
      <c r="C344">
        <v>3</v>
      </c>
      <c r="D344" t="str">
        <f t="shared" si="15"/>
        <v>Medium</v>
      </c>
      <c r="E344" t="s">
        <v>12</v>
      </c>
      <c r="F344" s="1">
        <v>7</v>
      </c>
      <c r="G344" t="str">
        <f t="shared" si="16"/>
        <v>Low</v>
      </c>
      <c r="H344">
        <v>0.9</v>
      </c>
      <c r="I344">
        <v>2.73</v>
      </c>
      <c r="J344" s="1">
        <v>1.7</v>
      </c>
      <c r="K344" t="str">
        <f t="shared" si="17"/>
        <v>1-2 hours</v>
      </c>
      <c r="L344" t="s">
        <v>16</v>
      </c>
      <c r="M344">
        <v>5</v>
      </c>
      <c r="N344">
        <v>6</v>
      </c>
      <c r="O344">
        <v>9</v>
      </c>
      <c r="P344">
        <v>0</v>
      </c>
    </row>
    <row r="345" spans="1:16" x14ac:dyDescent="0.25">
      <c r="A345">
        <v>14</v>
      </c>
      <c r="B345" t="s">
        <v>11</v>
      </c>
      <c r="C345">
        <v>2.8</v>
      </c>
      <c r="D345" t="str">
        <f t="shared" si="15"/>
        <v>Medium</v>
      </c>
      <c r="E345" t="s">
        <v>12</v>
      </c>
      <c r="F345" s="1">
        <v>5</v>
      </c>
      <c r="G345" t="str">
        <f t="shared" si="16"/>
        <v>Low</v>
      </c>
      <c r="H345">
        <v>2.5</v>
      </c>
      <c r="I345">
        <v>3.92</v>
      </c>
      <c r="J345" s="1">
        <v>1.8</v>
      </c>
      <c r="K345" t="str">
        <f t="shared" si="17"/>
        <v>1-2 hours</v>
      </c>
      <c r="L345" t="s">
        <v>16</v>
      </c>
      <c r="M345">
        <v>1</v>
      </c>
      <c r="N345">
        <v>3</v>
      </c>
      <c r="O345">
        <v>4</v>
      </c>
      <c r="P345">
        <v>0</v>
      </c>
    </row>
    <row r="346" spans="1:16" x14ac:dyDescent="0.25">
      <c r="A346">
        <v>14</v>
      </c>
      <c r="B346" t="s">
        <v>11</v>
      </c>
      <c r="C346">
        <v>7</v>
      </c>
      <c r="D346" t="str">
        <f t="shared" si="15"/>
        <v>High</v>
      </c>
      <c r="E346" t="s">
        <v>15</v>
      </c>
      <c r="F346" s="1">
        <v>6.9</v>
      </c>
      <c r="G346" t="str">
        <f t="shared" si="16"/>
        <v>Low</v>
      </c>
      <c r="H346">
        <v>1</v>
      </c>
      <c r="I346">
        <v>3.93</v>
      </c>
      <c r="J346" s="1">
        <v>1.1000000000000001</v>
      </c>
      <c r="K346" t="str">
        <f t="shared" si="17"/>
        <v>1-2 hours</v>
      </c>
      <c r="L346" t="s">
        <v>16</v>
      </c>
      <c r="M346">
        <v>9</v>
      </c>
      <c r="N346">
        <v>3</v>
      </c>
      <c r="O346">
        <v>7</v>
      </c>
      <c r="P346">
        <v>0</v>
      </c>
    </row>
    <row r="347" spans="1:16" x14ac:dyDescent="0.25">
      <c r="A347">
        <v>13</v>
      </c>
      <c r="B347" t="s">
        <v>14</v>
      </c>
      <c r="C347">
        <v>1.6</v>
      </c>
      <c r="D347" t="str">
        <f t="shared" si="15"/>
        <v>Low</v>
      </c>
      <c r="E347" t="s">
        <v>18</v>
      </c>
      <c r="F347" s="1">
        <v>8.4</v>
      </c>
      <c r="G347" t="str">
        <f t="shared" si="16"/>
        <v>Normal</v>
      </c>
      <c r="H347">
        <v>1.4</v>
      </c>
      <c r="I347">
        <v>3.47</v>
      </c>
      <c r="J347" s="1">
        <v>0.1</v>
      </c>
      <c r="K347" t="str">
        <f t="shared" si="17"/>
        <v>0-1 hours</v>
      </c>
      <c r="L347" t="s">
        <v>17</v>
      </c>
      <c r="M347">
        <v>1</v>
      </c>
      <c r="N347">
        <v>6</v>
      </c>
      <c r="O347">
        <v>6</v>
      </c>
      <c r="P347">
        <v>0</v>
      </c>
    </row>
    <row r="348" spans="1:16" x14ac:dyDescent="0.25">
      <c r="A348">
        <v>15</v>
      </c>
      <c r="B348" t="s">
        <v>14</v>
      </c>
      <c r="C348">
        <v>4.2</v>
      </c>
      <c r="D348" t="str">
        <f t="shared" si="15"/>
        <v>Medium</v>
      </c>
      <c r="E348" t="s">
        <v>12</v>
      </c>
      <c r="F348" s="1">
        <v>8.4</v>
      </c>
      <c r="G348" t="str">
        <f t="shared" si="16"/>
        <v>Normal</v>
      </c>
      <c r="H348">
        <v>1.2</v>
      </c>
      <c r="I348">
        <v>2.61</v>
      </c>
      <c r="J348" s="1">
        <v>0</v>
      </c>
      <c r="K348" t="str">
        <f t="shared" si="17"/>
        <v>No activity</v>
      </c>
      <c r="L348" t="s">
        <v>17</v>
      </c>
      <c r="M348">
        <v>3</v>
      </c>
      <c r="N348">
        <v>10</v>
      </c>
      <c r="O348">
        <v>2</v>
      </c>
      <c r="P348">
        <v>0</v>
      </c>
    </row>
    <row r="349" spans="1:16" x14ac:dyDescent="0.25">
      <c r="A349">
        <v>17</v>
      </c>
      <c r="B349" t="s">
        <v>11</v>
      </c>
      <c r="C349">
        <v>4.9000000000000004</v>
      </c>
      <c r="D349" t="str">
        <f t="shared" si="15"/>
        <v>Medium</v>
      </c>
      <c r="E349" t="s">
        <v>12</v>
      </c>
      <c r="F349" s="1">
        <v>8.6</v>
      </c>
      <c r="G349" t="str">
        <f t="shared" si="16"/>
        <v>Normal</v>
      </c>
      <c r="H349">
        <v>3</v>
      </c>
      <c r="I349">
        <v>3.62</v>
      </c>
      <c r="J349" s="1">
        <v>1.2</v>
      </c>
      <c r="K349" t="str">
        <f t="shared" si="17"/>
        <v>1-2 hours</v>
      </c>
      <c r="L349" t="s">
        <v>13</v>
      </c>
      <c r="M349">
        <v>6</v>
      </c>
      <c r="N349">
        <v>6</v>
      </c>
      <c r="O349">
        <v>9</v>
      </c>
      <c r="P349">
        <v>0</v>
      </c>
    </row>
    <row r="350" spans="1:16" x14ac:dyDescent="0.25">
      <c r="A350">
        <v>14</v>
      </c>
      <c r="B350" t="s">
        <v>14</v>
      </c>
      <c r="C350">
        <v>3.6</v>
      </c>
      <c r="D350" t="str">
        <f t="shared" si="15"/>
        <v>Medium</v>
      </c>
      <c r="E350" t="s">
        <v>12</v>
      </c>
      <c r="F350" s="1">
        <v>4.0999999999999996</v>
      </c>
      <c r="G350" t="str">
        <f t="shared" si="16"/>
        <v>Low</v>
      </c>
      <c r="H350">
        <v>2.9</v>
      </c>
      <c r="I350">
        <v>2.83</v>
      </c>
      <c r="J350" s="1">
        <v>0.5</v>
      </c>
      <c r="K350" t="str">
        <f t="shared" si="17"/>
        <v>0-1 hours</v>
      </c>
      <c r="L350" t="s">
        <v>17</v>
      </c>
      <c r="M350">
        <v>10</v>
      </c>
      <c r="N350">
        <v>6</v>
      </c>
      <c r="O350">
        <v>7</v>
      </c>
      <c r="P350">
        <v>0</v>
      </c>
    </row>
    <row r="351" spans="1:16" x14ac:dyDescent="0.25">
      <c r="A351">
        <v>19</v>
      </c>
      <c r="B351" t="s">
        <v>11</v>
      </c>
      <c r="C351">
        <v>1.8</v>
      </c>
      <c r="D351" t="str">
        <f t="shared" si="15"/>
        <v>Low</v>
      </c>
      <c r="E351" t="s">
        <v>15</v>
      </c>
      <c r="F351" s="1">
        <v>6</v>
      </c>
      <c r="G351" t="str">
        <f t="shared" si="16"/>
        <v>Low</v>
      </c>
      <c r="H351">
        <v>2.2999999999999998</v>
      </c>
      <c r="I351">
        <v>3.22</v>
      </c>
      <c r="J351" s="1">
        <v>1</v>
      </c>
      <c r="K351" t="str">
        <f t="shared" si="17"/>
        <v>0-1 hours</v>
      </c>
      <c r="L351" t="s">
        <v>17</v>
      </c>
      <c r="M351">
        <v>5</v>
      </c>
      <c r="N351">
        <v>6</v>
      </c>
      <c r="O351">
        <v>8</v>
      </c>
      <c r="P351">
        <v>0</v>
      </c>
    </row>
    <row r="352" spans="1:16" x14ac:dyDescent="0.25">
      <c r="A352">
        <v>17</v>
      </c>
      <c r="B352" t="s">
        <v>14</v>
      </c>
      <c r="C352">
        <v>2.7</v>
      </c>
      <c r="D352" t="str">
        <f t="shared" si="15"/>
        <v>Medium</v>
      </c>
      <c r="E352" t="s">
        <v>12</v>
      </c>
      <c r="F352" s="1">
        <v>5.4</v>
      </c>
      <c r="G352" t="str">
        <f t="shared" si="16"/>
        <v>Low</v>
      </c>
      <c r="H352">
        <v>2.6</v>
      </c>
      <c r="I352">
        <v>2.0699999999999998</v>
      </c>
      <c r="J352" s="1">
        <v>0</v>
      </c>
      <c r="K352" t="str">
        <f t="shared" si="17"/>
        <v>No activity</v>
      </c>
      <c r="L352" t="s">
        <v>17</v>
      </c>
      <c r="M352">
        <v>6</v>
      </c>
      <c r="N352">
        <v>5</v>
      </c>
      <c r="O352">
        <v>6</v>
      </c>
      <c r="P352">
        <v>0</v>
      </c>
    </row>
    <row r="353" spans="1:16" x14ac:dyDescent="0.25">
      <c r="A353">
        <v>15</v>
      </c>
      <c r="B353" t="s">
        <v>14</v>
      </c>
      <c r="C353">
        <v>1.2</v>
      </c>
      <c r="D353" t="str">
        <f t="shared" si="15"/>
        <v>Low</v>
      </c>
      <c r="E353" t="s">
        <v>12</v>
      </c>
      <c r="F353" s="1">
        <v>5.2</v>
      </c>
      <c r="G353" t="str">
        <f t="shared" si="16"/>
        <v>Low</v>
      </c>
      <c r="H353">
        <v>1</v>
      </c>
      <c r="I353">
        <v>2.78</v>
      </c>
      <c r="J353" s="1">
        <v>1.3</v>
      </c>
      <c r="K353" t="str">
        <f t="shared" si="17"/>
        <v>1-2 hours</v>
      </c>
      <c r="L353" t="s">
        <v>16</v>
      </c>
      <c r="M353">
        <v>5</v>
      </c>
      <c r="N353">
        <v>8</v>
      </c>
      <c r="O353">
        <v>10</v>
      </c>
      <c r="P353">
        <v>0</v>
      </c>
    </row>
    <row r="354" spans="1:16" x14ac:dyDescent="0.25">
      <c r="A354">
        <v>18</v>
      </c>
      <c r="B354" t="s">
        <v>14</v>
      </c>
      <c r="C354">
        <v>6.2</v>
      </c>
      <c r="D354" t="str">
        <f t="shared" si="15"/>
        <v>Medium</v>
      </c>
      <c r="E354" t="s">
        <v>18</v>
      </c>
      <c r="F354" s="1">
        <v>6.7</v>
      </c>
      <c r="G354" t="str">
        <f t="shared" si="16"/>
        <v>Low</v>
      </c>
      <c r="H354">
        <v>1.4</v>
      </c>
      <c r="I354">
        <v>3.42</v>
      </c>
      <c r="J354" s="1">
        <v>0.9</v>
      </c>
      <c r="K354" t="str">
        <f t="shared" si="17"/>
        <v>0-1 hours</v>
      </c>
      <c r="L354" t="s">
        <v>13</v>
      </c>
      <c r="M354">
        <v>6</v>
      </c>
      <c r="N354">
        <v>8</v>
      </c>
      <c r="O354">
        <v>6</v>
      </c>
      <c r="P354">
        <v>0</v>
      </c>
    </row>
    <row r="355" spans="1:16" x14ac:dyDescent="0.25">
      <c r="A355">
        <v>18</v>
      </c>
      <c r="B355" t="s">
        <v>11</v>
      </c>
      <c r="C355">
        <v>1.6</v>
      </c>
      <c r="D355" t="str">
        <f t="shared" si="15"/>
        <v>Low</v>
      </c>
      <c r="E355" t="s">
        <v>15</v>
      </c>
      <c r="F355" s="1">
        <v>6.2</v>
      </c>
      <c r="G355" t="str">
        <f t="shared" si="16"/>
        <v>Low</v>
      </c>
      <c r="H355">
        <v>1.9</v>
      </c>
      <c r="I355">
        <v>2.0499999999999998</v>
      </c>
      <c r="J355" s="1">
        <v>0.3</v>
      </c>
      <c r="K355" t="str">
        <f t="shared" si="17"/>
        <v>0-1 hours</v>
      </c>
      <c r="L355" t="s">
        <v>13</v>
      </c>
      <c r="M355">
        <v>8</v>
      </c>
      <c r="N355">
        <v>9</v>
      </c>
      <c r="O355">
        <v>9</v>
      </c>
      <c r="P355">
        <v>0</v>
      </c>
    </row>
    <row r="356" spans="1:16" x14ac:dyDescent="0.25">
      <c r="A356">
        <v>18</v>
      </c>
      <c r="B356" t="s">
        <v>14</v>
      </c>
      <c r="C356">
        <v>5.0999999999999996</v>
      </c>
      <c r="D356" t="str">
        <f t="shared" si="15"/>
        <v>Medium</v>
      </c>
      <c r="E356" t="s">
        <v>15</v>
      </c>
      <c r="F356" s="1">
        <v>7.4</v>
      </c>
      <c r="G356" t="str">
        <f t="shared" si="16"/>
        <v>Low</v>
      </c>
      <c r="H356">
        <v>1.3</v>
      </c>
      <c r="I356">
        <v>3.5</v>
      </c>
      <c r="J356" s="1">
        <v>1.6</v>
      </c>
      <c r="K356" t="str">
        <f t="shared" si="17"/>
        <v>1-2 hours</v>
      </c>
      <c r="L356" t="s">
        <v>16</v>
      </c>
      <c r="M356">
        <v>1</v>
      </c>
      <c r="N356">
        <v>5</v>
      </c>
      <c r="O356">
        <v>5</v>
      </c>
      <c r="P356">
        <v>0</v>
      </c>
    </row>
    <row r="357" spans="1:16" x14ac:dyDescent="0.25">
      <c r="A357">
        <v>13</v>
      </c>
      <c r="B357" t="s">
        <v>14</v>
      </c>
      <c r="C357">
        <v>5.2</v>
      </c>
      <c r="D357" t="str">
        <f t="shared" si="15"/>
        <v>Medium</v>
      </c>
      <c r="E357" t="s">
        <v>15</v>
      </c>
      <c r="F357" s="1">
        <v>8.1999999999999993</v>
      </c>
      <c r="G357" t="str">
        <f t="shared" si="16"/>
        <v>Normal</v>
      </c>
      <c r="H357">
        <v>2.8</v>
      </c>
      <c r="I357">
        <v>2.12</v>
      </c>
      <c r="J357" s="1">
        <v>1.4</v>
      </c>
      <c r="K357" t="str">
        <f t="shared" si="17"/>
        <v>1-2 hours</v>
      </c>
      <c r="L357" t="s">
        <v>17</v>
      </c>
      <c r="M357">
        <v>1</v>
      </c>
      <c r="N357">
        <v>8</v>
      </c>
      <c r="O357">
        <v>1</v>
      </c>
      <c r="P357">
        <v>0</v>
      </c>
    </row>
    <row r="358" spans="1:16" x14ac:dyDescent="0.25">
      <c r="A358">
        <v>14</v>
      </c>
      <c r="B358" t="s">
        <v>11</v>
      </c>
      <c r="C358">
        <v>4.0999999999999996</v>
      </c>
      <c r="D358" t="str">
        <f t="shared" si="15"/>
        <v>Medium</v>
      </c>
      <c r="E358" t="s">
        <v>15</v>
      </c>
      <c r="F358" s="1">
        <v>5.0999999999999996</v>
      </c>
      <c r="G358" t="str">
        <f t="shared" si="16"/>
        <v>Low</v>
      </c>
      <c r="H358">
        <v>2</v>
      </c>
      <c r="I358">
        <v>3.51</v>
      </c>
      <c r="J358" s="1">
        <v>0.7</v>
      </c>
      <c r="K358" t="str">
        <f t="shared" si="17"/>
        <v>0-1 hours</v>
      </c>
      <c r="L358" t="s">
        <v>16</v>
      </c>
      <c r="M358">
        <v>2</v>
      </c>
      <c r="N358">
        <v>9</v>
      </c>
      <c r="O358">
        <v>1</v>
      </c>
      <c r="P358">
        <v>0</v>
      </c>
    </row>
    <row r="359" spans="1:16" x14ac:dyDescent="0.25">
      <c r="A359">
        <v>19</v>
      </c>
      <c r="B359" t="s">
        <v>14</v>
      </c>
      <c r="C359">
        <v>5.4</v>
      </c>
      <c r="D359" t="str">
        <f t="shared" si="15"/>
        <v>Medium</v>
      </c>
      <c r="E359" t="s">
        <v>15</v>
      </c>
      <c r="F359" s="1">
        <v>4.4000000000000004</v>
      </c>
      <c r="G359" t="str">
        <f t="shared" si="16"/>
        <v>Low</v>
      </c>
      <c r="H359">
        <v>2.2999999999999998</v>
      </c>
      <c r="I359">
        <v>3.34</v>
      </c>
      <c r="J359" s="1">
        <v>0.4</v>
      </c>
      <c r="K359" t="str">
        <f t="shared" si="17"/>
        <v>0-1 hours</v>
      </c>
      <c r="L359" t="s">
        <v>16</v>
      </c>
      <c r="M359">
        <v>3</v>
      </c>
      <c r="N359">
        <v>3</v>
      </c>
      <c r="O359">
        <v>8</v>
      </c>
      <c r="P359">
        <v>0</v>
      </c>
    </row>
    <row r="360" spans="1:16" x14ac:dyDescent="0.25">
      <c r="A360">
        <v>13</v>
      </c>
      <c r="B360" t="s">
        <v>11</v>
      </c>
      <c r="C360">
        <v>2.4</v>
      </c>
      <c r="D360" t="str">
        <f t="shared" si="15"/>
        <v>Medium</v>
      </c>
      <c r="E360" t="s">
        <v>15</v>
      </c>
      <c r="F360" s="1">
        <v>8.4</v>
      </c>
      <c r="G360" t="str">
        <f t="shared" si="16"/>
        <v>Normal</v>
      </c>
      <c r="H360">
        <v>1.6</v>
      </c>
      <c r="I360">
        <v>2.82</v>
      </c>
      <c r="J360" s="1">
        <v>1.1000000000000001</v>
      </c>
      <c r="K360" t="str">
        <f t="shared" si="17"/>
        <v>1-2 hours</v>
      </c>
      <c r="L360" t="s">
        <v>13</v>
      </c>
      <c r="M360">
        <v>1</v>
      </c>
      <c r="N360">
        <v>3</v>
      </c>
      <c r="O360">
        <v>2</v>
      </c>
      <c r="P360">
        <v>0</v>
      </c>
    </row>
    <row r="361" spans="1:16" x14ac:dyDescent="0.25">
      <c r="A361">
        <v>18</v>
      </c>
      <c r="B361" t="s">
        <v>11</v>
      </c>
      <c r="C361">
        <v>1.7</v>
      </c>
      <c r="D361" t="str">
        <f t="shared" si="15"/>
        <v>Low</v>
      </c>
      <c r="E361" t="s">
        <v>18</v>
      </c>
      <c r="F361" s="1">
        <v>5.6</v>
      </c>
      <c r="G361" t="str">
        <f t="shared" si="16"/>
        <v>Low</v>
      </c>
      <c r="H361">
        <v>1.4</v>
      </c>
      <c r="I361">
        <v>2.85</v>
      </c>
      <c r="J361" s="1">
        <v>1</v>
      </c>
      <c r="K361" t="str">
        <f t="shared" si="17"/>
        <v>0-1 hours</v>
      </c>
      <c r="L361" t="s">
        <v>16</v>
      </c>
      <c r="M361">
        <v>3</v>
      </c>
      <c r="N361">
        <v>3</v>
      </c>
      <c r="O361">
        <v>7</v>
      </c>
      <c r="P361">
        <v>0</v>
      </c>
    </row>
    <row r="362" spans="1:16" x14ac:dyDescent="0.25">
      <c r="A362">
        <v>18</v>
      </c>
      <c r="B362" t="s">
        <v>11</v>
      </c>
      <c r="C362">
        <v>6</v>
      </c>
      <c r="D362" t="str">
        <f t="shared" si="15"/>
        <v>Medium</v>
      </c>
      <c r="E362" t="s">
        <v>18</v>
      </c>
      <c r="F362" s="1">
        <v>6.1</v>
      </c>
      <c r="G362" t="str">
        <f t="shared" si="16"/>
        <v>Low</v>
      </c>
      <c r="H362">
        <v>0.9</v>
      </c>
      <c r="I362">
        <v>2.68</v>
      </c>
      <c r="J362" s="1">
        <v>0.3</v>
      </c>
      <c r="K362" t="str">
        <f t="shared" si="17"/>
        <v>0-1 hours</v>
      </c>
      <c r="L362" t="s">
        <v>17</v>
      </c>
      <c r="M362">
        <v>2</v>
      </c>
      <c r="N362">
        <v>10</v>
      </c>
      <c r="O362">
        <v>10</v>
      </c>
      <c r="P362">
        <v>0</v>
      </c>
    </row>
    <row r="363" spans="1:16" x14ac:dyDescent="0.25">
      <c r="A363">
        <v>17</v>
      </c>
      <c r="B363" t="s">
        <v>11</v>
      </c>
      <c r="C363">
        <v>7.2</v>
      </c>
      <c r="D363" t="str">
        <f t="shared" si="15"/>
        <v>High</v>
      </c>
      <c r="E363" t="s">
        <v>18</v>
      </c>
      <c r="F363" s="1">
        <v>6.1</v>
      </c>
      <c r="G363" t="str">
        <f t="shared" si="16"/>
        <v>Low</v>
      </c>
      <c r="H363">
        <v>0.8</v>
      </c>
      <c r="I363">
        <v>3.9</v>
      </c>
      <c r="J363" s="1">
        <v>0.2</v>
      </c>
      <c r="K363" t="str">
        <f t="shared" si="17"/>
        <v>0-1 hours</v>
      </c>
      <c r="L363" t="s">
        <v>13</v>
      </c>
      <c r="M363">
        <v>8</v>
      </c>
      <c r="N363">
        <v>3</v>
      </c>
      <c r="O363">
        <v>7</v>
      </c>
      <c r="P363">
        <v>0</v>
      </c>
    </row>
    <row r="364" spans="1:16" x14ac:dyDescent="0.25">
      <c r="A364">
        <v>18</v>
      </c>
      <c r="B364" t="s">
        <v>11</v>
      </c>
      <c r="C364">
        <v>3.5</v>
      </c>
      <c r="D364" t="str">
        <f t="shared" si="15"/>
        <v>Medium</v>
      </c>
      <c r="E364" t="s">
        <v>15</v>
      </c>
      <c r="F364" s="1">
        <v>6.3</v>
      </c>
      <c r="G364" t="str">
        <f t="shared" si="16"/>
        <v>Low</v>
      </c>
      <c r="H364">
        <v>2.9</v>
      </c>
      <c r="I364">
        <v>3.35</v>
      </c>
      <c r="J364" s="1">
        <v>1.6</v>
      </c>
      <c r="K364" t="str">
        <f t="shared" si="17"/>
        <v>1-2 hours</v>
      </c>
      <c r="L364" t="s">
        <v>16</v>
      </c>
      <c r="M364">
        <v>1</v>
      </c>
      <c r="N364">
        <v>4</v>
      </c>
      <c r="O364">
        <v>2</v>
      </c>
      <c r="P364">
        <v>0</v>
      </c>
    </row>
    <row r="365" spans="1:16" x14ac:dyDescent="0.25">
      <c r="A365">
        <v>15</v>
      </c>
      <c r="B365" t="s">
        <v>14</v>
      </c>
      <c r="C365">
        <v>3.8</v>
      </c>
      <c r="D365" t="str">
        <f t="shared" si="15"/>
        <v>Medium</v>
      </c>
      <c r="E365" t="s">
        <v>12</v>
      </c>
      <c r="F365" s="1">
        <v>4.4000000000000004</v>
      </c>
      <c r="G365" t="str">
        <f t="shared" si="16"/>
        <v>Low</v>
      </c>
      <c r="H365">
        <v>1.9</v>
      </c>
      <c r="I365">
        <v>2.04</v>
      </c>
      <c r="J365" s="1">
        <v>0.5</v>
      </c>
      <c r="K365" t="str">
        <f t="shared" si="17"/>
        <v>0-1 hours</v>
      </c>
      <c r="L365" t="s">
        <v>17</v>
      </c>
      <c r="M365">
        <v>4</v>
      </c>
      <c r="N365">
        <v>9</v>
      </c>
      <c r="O365">
        <v>7</v>
      </c>
      <c r="P365">
        <v>0</v>
      </c>
    </row>
    <row r="366" spans="1:16" x14ac:dyDescent="0.25">
      <c r="A366">
        <v>18</v>
      </c>
      <c r="B366" t="s">
        <v>14</v>
      </c>
      <c r="C366">
        <v>4.5</v>
      </c>
      <c r="D366" t="str">
        <f t="shared" si="15"/>
        <v>Medium</v>
      </c>
      <c r="E366" t="s">
        <v>18</v>
      </c>
      <c r="F366" s="1">
        <v>8</v>
      </c>
      <c r="G366" t="str">
        <f t="shared" si="16"/>
        <v>Normal</v>
      </c>
      <c r="H366">
        <v>1.5</v>
      </c>
      <c r="I366">
        <v>3.45</v>
      </c>
      <c r="J366" s="1">
        <v>1</v>
      </c>
      <c r="K366" t="str">
        <f t="shared" si="17"/>
        <v>0-1 hours</v>
      </c>
      <c r="L366" t="s">
        <v>13</v>
      </c>
      <c r="M366">
        <v>4</v>
      </c>
      <c r="N366">
        <v>3</v>
      </c>
      <c r="O366">
        <v>9</v>
      </c>
      <c r="P366">
        <v>0</v>
      </c>
    </row>
    <row r="367" spans="1:16" x14ac:dyDescent="0.25">
      <c r="A367">
        <v>16</v>
      </c>
      <c r="B367" t="s">
        <v>14</v>
      </c>
      <c r="C367">
        <v>7.3</v>
      </c>
      <c r="D367" t="str">
        <f t="shared" si="15"/>
        <v>High</v>
      </c>
      <c r="E367" t="s">
        <v>18</v>
      </c>
      <c r="F367" s="1">
        <v>7.2</v>
      </c>
      <c r="G367" t="str">
        <f t="shared" si="16"/>
        <v>Low</v>
      </c>
      <c r="H367">
        <v>0.5</v>
      </c>
      <c r="I367">
        <v>2.78</v>
      </c>
      <c r="J367" s="1">
        <v>1.9</v>
      </c>
      <c r="K367" t="str">
        <f t="shared" si="17"/>
        <v>1-2 hours</v>
      </c>
      <c r="L367" t="s">
        <v>13</v>
      </c>
      <c r="M367">
        <v>7</v>
      </c>
      <c r="N367">
        <v>3</v>
      </c>
      <c r="O367">
        <v>9</v>
      </c>
      <c r="P367">
        <v>0</v>
      </c>
    </row>
    <row r="368" spans="1:16" x14ac:dyDescent="0.25">
      <c r="A368">
        <v>18</v>
      </c>
      <c r="B368" t="s">
        <v>14</v>
      </c>
      <c r="C368">
        <v>6.4</v>
      </c>
      <c r="D368" t="str">
        <f t="shared" si="15"/>
        <v>Medium</v>
      </c>
      <c r="E368" t="s">
        <v>12</v>
      </c>
      <c r="F368" s="1">
        <v>7.7</v>
      </c>
      <c r="G368" t="str">
        <f t="shared" si="16"/>
        <v>Low</v>
      </c>
      <c r="H368">
        <v>0.5</v>
      </c>
      <c r="I368">
        <v>3.05</v>
      </c>
      <c r="J368" s="1">
        <v>1.2</v>
      </c>
      <c r="K368" t="str">
        <f t="shared" si="17"/>
        <v>1-2 hours</v>
      </c>
      <c r="L368" t="s">
        <v>13</v>
      </c>
      <c r="M368">
        <v>3</v>
      </c>
      <c r="N368">
        <v>1</v>
      </c>
      <c r="O368">
        <v>2</v>
      </c>
      <c r="P368">
        <v>0</v>
      </c>
    </row>
    <row r="369" spans="1:16" x14ac:dyDescent="0.25">
      <c r="A369">
        <v>16</v>
      </c>
      <c r="B369" t="s">
        <v>11</v>
      </c>
      <c r="C369">
        <v>5.3</v>
      </c>
      <c r="D369" t="str">
        <f t="shared" si="15"/>
        <v>Medium</v>
      </c>
      <c r="E369" t="s">
        <v>15</v>
      </c>
      <c r="F369" s="1">
        <v>8.4</v>
      </c>
      <c r="G369" t="str">
        <f t="shared" si="16"/>
        <v>Normal</v>
      </c>
      <c r="H369">
        <v>2.2000000000000002</v>
      </c>
      <c r="I369">
        <v>2.81</v>
      </c>
      <c r="J369" s="1">
        <v>0.6</v>
      </c>
      <c r="K369" t="str">
        <f t="shared" si="17"/>
        <v>0-1 hours</v>
      </c>
      <c r="L369" t="s">
        <v>16</v>
      </c>
      <c r="M369">
        <v>2</v>
      </c>
      <c r="N369">
        <v>8</v>
      </c>
      <c r="O369">
        <v>8</v>
      </c>
      <c r="P369">
        <v>0</v>
      </c>
    </row>
    <row r="370" spans="1:16" x14ac:dyDescent="0.25">
      <c r="A370">
        <v>13</v>
      </c>
      <c r="B370" t="s">
        <v>11</v>
      </c>
      <c r="C370">
        <v>2.4</v>
      </c>
      <c r="D370" t="str">
        <f t="shared" si="15"/>
        <v>Medium</v>
      </c>
      <c r="E370" t="s">
        <v>12</v>
      </c>
      <c r="F370" s="1">
        <v>7.1</v>
      </c>
      <c r="G370" t="str">
        <f t="shared" si="16"/>
        <v>Low</v>
      </c>
      <c r="H370">
        <v>0.7</v>
      </c>
      <c r="I370">
        <v>3.64</v>
      </c>
      <c r="J370" s="1">
        <v>1.1000000000000001</v>
      </c>
      <c r="K370" t="str">
        <f t="shared" si="17"/>
        <v>1-2 hours</v>
      </c>
      <c r="L370" t="s">
        <v>16</v>
      </c>
      <c r="M370">
        <v>6</v>
      </c>
      <c r="N370">
        <v>5</v>
      </c>
      <c r="O370">
        <v>5</v>
      </c>
      <c r="P370">
        <v>0</v>
      </c>
    </row>
    <row r="371" spans="1:16" x14ac:dyDescent="0.25">
      <c r="A371">
        <v>13</v>
      </c>
      <c r="B371" t="s">
        <v>11</v>
      </c>
      <c r="C371">
        <v>8</v>
      </c>
      <c r="D371" t="str">
        <f t="shared" si="15"/>
        <v>High</v>
      </c>
      <c r="E371" t="s">
        <v>18</v>
      </c>
      <c r="F371" s="1">
        <v>8.9</v>
      </c>
      <c r="G371" t="str">
        <f t="shared" si="16"/>
        <v>Normal</v>
      </c>
      <c r="H371">
        <v>2.2000000000000002</v>
      </c>
      <c r="I371">
        <v>3.82</v>
      </c>
      <c r="J371" s="1">
        <v>1.2</v>
      </c>
      <c r="K371" t="str">
        <f t="shared" si="17"/>
        <v>1-2 hours</v>
      </c>
      <c r="L371" t="s">
        <v>13</v>
      </c>
      <c r="M371">
        <v>8</v>
      </c>
      <c r="N371">
        <v>8</v>
      </c>
      <c r="O371">
        <v>4</v>
      </c>
      <c r="P371">
        <v>0</v>
      </c>
    </row>
    <row r="372" spans="1:16" x14ac:dyDescent="0.25">
      <c r="A372">
        <v>15</v>
      </c>
      <c r="B372" t="s">
        <v>11</v>
      </c>
      <c r="C372">
        <v>7.3</v>
      </c>
      <c r="D372" t="str">
        <f t="shared" si="15"/>
        <v>High</v>
      </c>
      <c r="E372" t="s">
        <v>18</v>
      </c>
      <c r="F372" s="1">
        <v>4.4000000000000004</v>
      </c>
      <c r="G372" t="str">
        <f t="shared" si="16"/>
        <v>Low</v>
      </c>
      <c r="H372">
        <v>2.2999999999999998</v>
      </c>
      <c r="I372">
        <v>2.76</v>
      </c>
      <c r="J372" s="1">
        <v>1.8</v>
      </c>
      <c r="K372" t="str">
        <f t="shared" si="17"/>
        <v>1-2 hours</v>
      </c>
      <c r="L372" t="s">
        <v>17</v>
      </c>
      <c r="M372">
        <v>4</v>
      </c>
      <c r="N372">
        <v>6</v>
      </c>
      <c r="O372">
        <v>9</v>
      </c>
      <c r="P372">
        <v>0</v>
      </c>
    </row>
    <row r="373" spans="1:16" x14ac:dyDescent="0.25">
      <c r="A373">
        <v>17</v>
      </c>
      <c r="B373" t="s">
        <v>14</v>
      </c>
      <c r="C373">
        <v>4.5</v>
      </c>
      <c r="D373" t="str">
        <f t="shared" si="15"/>
        <v>Medium</v>
      </c>
      <c r="E373" t="s">
        <v>18</v>
      </c>
      <c r="F373" s="1">
        <v>7.3</v>
      </c>
      <c r="G373" t="str">
        <f t="shared" si="16"/>
        <v>Low</v>
      </c>
      <c r="H373">
        <v>0.9</v>
      </c>
      <c r="I373">
        <v>2.34</v>
      </c>
      <c r="J373" s="1">
        <v>0.9</v>
      </c>
      <c r="K373" t="str">
        <f t="shared" si="17"/>
        <v>0-1 hours</v>
      </c>
      <c r="L373" t="s">
        <v>17</v>
      </c>
      <c r="M373">
        <v>7</v>
      </c>
      <c r="N373">
        <v>3</v>
      </c>
      <c r="O373">
        <v>8</v>
      </c>
      <c r="P373">
        <v>0</v>
      </c>
    </row>
    <row r="374" spans="1:16" x14ac:dyDescent="0.25">
      <c r="A374">
        <v>19</v>
      </c>
      <c r="B374" t="s">
        <v>11</v>
      </c>
      <c r="C374">
        <v>5</v>
      </c>
      <c r="D374" t="str">
        <f t="shared" si="15"/>
        <v>Medium</v>
      </c>
      <c r="E374" t="s">
        <v>18</v>
      </c>
      <c r="F374" s="1">
        <v>9</v>
      </c>
      <c r="G374" t="str">
        <f t="shared" si="16"/>
        <v>Normal</v>
      </c>
      <c r="H374">
        <v>2.4</v>
      </c>
      <c r="I374">
        <v>2.5299999999999998</v>
      </c>
      <c r="J374" s="1">
        <v>0.4</v>
      </c>
      <c r="K374" t="str">
        <f t="shared" si="17"/>
        <v>0-1 hours</v>
      </c>
      <c r="L374" t="s">
        <v>17</v>
      </c>
      <c r="M374">
        <v>7</v>
      </c>
      <c r="N374">
        <v>2</v>
      </c>
      <c r="O374">
        <v>10</v>
      </c>
      <c r="P374">
        <v>0</v>
      </c>
    </row>
    <row r="375" spans="1:16" x14ac:dyDescent="0.25">
      <c r="A375">
        <v>16</v>
      </c>
      <c r="B375" t="s">
        <v>14</v>
      </c>
      <c r="C375">
        <v>5.7</v>
      </c>
      <c r="D375" t="str">
        <f t="shared" si="15"/>
        <v>Medium</v>
      </c>
      <c r="E375" t="s">
        <v>18</v>
      </c>
      <c r="F375" s="1">
        <v>4.2</v>
      </c>
      <c r="G375" t="str">
        <f t="shared" si="16"/>
        <v>Low</v>
      </c>
      <c r="H375">
        <v>1.4</v>
      </c>
      <c r="I375">
        <v>2.56</v>
      </c>
      <c r="J375" s="1">
        <v>0.1</v>
      </c>
      <c r="K375" t="str">
        <f t="shared" si="17"/>
        <v>0-1 hours</v>
      </c>
      <c r="L375" t="s">
        <v>16</v>
      </c>
      <c r="M375">
        <v>4</v>
      </c>
      <c r="N375">
        <v>3</v>
      </c>
      <c r="O375">
        <v>1</v>
      </c>
      <c r="P375">
        <v>0</v>
      </c>
    </row>
    <row r="376" spans="1:16" x14ac:dyDescent="0.25">
      <c r="A376">
        <v>18</v>
      </c>
      <c r="B376" t="s">
        <v>14</v>
      </c>
      <c r="C376">
        <v>2.9</v>
      </c>
      <c r="D376" t="str">
        <f t="shared" si="15"/>
        <v>Medium</v>
      </c>
      <c r="E376" t="s">
        <v>12</v>
      </c>
      <c r="F376" s="1">
        <v>8.4</v>
      </c>
      <c r="G376" t="str">
        <f t="shared" si="16"/>
        <v>Normal</v>
      </c>
      <c r="H376">
        <v>2.6</v>
      </c>
      <c r="I376">
        <v>2.57</v>
      </c>
      <c r="J376" s="1">
        <v>1.8</v>
      </c>
      <c r="K376" t="str">
        <f t="shared" si="17"/>
        <v>1-2 hours</v>
      </c>
      <c r="L376" t="s">
        <v>17</v>
      </c>
      <c r="M376">
        <v>4</v>
      </c>
      <c r="N376">
        <v>1</v>
      </c>
      <c r="O376">
        <v>3</v>
      </c>
      <c r="P376">
        <v>0</v>
      </c>
    </row>
    <row r="377" spans="1:16" x14ac:dyDescent="0.25">
      <c r="A377">
        <v>13</v>
      </c>
      <c r="B377" t="s">
        <v>11</v>
      </c>
      <c r="C377">
        <v>7.9</v>
      </c>
      <c r="D377" t="str">
        <f t="shared" si="15"/>
        <v>High</v>
      </c>
      <c r="E377" t="s">
        <v>12</v>
      </c>
      <c r="F377" s="1">
        <v>8.8000000000000007</v>
      </c>
      <c r="G377" t="str">
        <f t="shared" si="16"/>
        <v>Normal</v>
      </c>
      <c r="H377">
        <v>2.2999999999999998</v>
      </c>
      <c r="I377">
        <v>3.39</v>
      </c>
      <c r="J377" s="1">
        <v>0.5</v>
      </c>
      <c r="K377" t="str">
        <f t="shared" si="17"/>
        <v>0-1 hours</v>
      </c>
      <c r="L377" t="s">
        <v>13</v>
      </c>
      <c r="M377">
        <v>1</v>
      </c>
      <c r="N377">
        <v>9</v>
      </c>
      <c r="O377">
        <v>3</v>
      </c>
      <c r="P377">
        <v>0</v>
      </c>
    </row>
    <row r="378" spans="1:16" x14ac:dyDescent="0.25">
      <c r="A378">
        <v>19</v>
      </c>
      <c r="B378" t="s">
        <v>11</v>
      </c>
      <c r="C378">
        <v>4.8</v>
      </c>
      <c r="D378" t="str">
        <f t="shared" si="15"/>
        <v>Medium</v>
      </c>
      <c r="E378" t="s">
        <v>15</v>
      </c>
      <c r="F378" s="1">
        <v>5</v>
      </c>
      <c r="G378" t="str">
        <f t="shared" si="16"/>
        <v>Low</v>
      </c>
      <c r="H378">
        <v>2.6</v>
      </c>
      <c r="I378">
        <v>3.25</v>
      </c>
      <c r="J378" s="1">
        <v>1.6</v>
      </c>
      <c r="K378" t="str">
        <f t="shared" si="17"/>
        <v>1-2 hours</v>
      </c>
      <c r="L378" t="s">
        <v>13</v>
      </c>
      <c r="M378">
        <v>4</v>
      </c>
      <c r="N378">
        <v>6</v>
      </c>
      <c r="O378">
        <v>1</v>
      </c>
      <c r="P378">
        <v>0</v>
      </c>
    </row>
    <row r="379" spans="1:16" x14ac:dyDescent="0.25">
      <c r="A379">
        <v>13</v>
      </c>
      <c r="B379" t="s">
        <v>14</v>
      </c>
      <c r="C379">
        <v>3</v>
      </c>
      <c r="D379" t="str">
        <f t="shared" si="15"/>
        <v>Medium</v>
      </c>
      <c r="E379" t="s">
        <v>18</v>
      </c>
      <c r="F379" s="1">
        <v>6</v>
      </c>
      <c r="G379" t="str">
        <f t="shared" si="16"/>
        <v>Low</v>
      </c>
      <c r="H379">
        <v>1</v>
      </c>
      <c r="I379">
        <v>2.63</v>
      </c>
      <c r="J379" s="1">
        <v>0.1</v>
      </c>
      <c r="K379" t="str">
        <f t="shared" si="17"/>
        <v>0-1 hours</v>
      </c>
      <c r="L379" t="s">
        <v>13</v>
      </c>
      <c r="M379">
        <v>5</v>
      </c>
      <c r="N379">
        <v>10</v>
      </c>
      <c r="O379">
        <v>9</v>
      </c>
      <c r="P379">
        <v>0</v>
      </c>
    </row>
    <row r="380" spans="1:16" x14ac:dyDescent="0.25">
      <c r="A380">
        <v>14</v>
      </c>
      <c r="B380" t="s">
        <v>14</v>
      </c>
      <c r="C380">
        <v>4.0999999999999996</v>
      </c>
      <c r="D380" t="str">
        <f t="shared" si="15"/>
        <v>Medium</v>
      </c>
      <c r="E380" t="s">
        <v>18</v>
      </c>
      <c r="F380" s="1">
        <v>6.4</v>
      </c>
      <c r="G380" t="str">
        <f t="shared" si="16"/>
        <v>Low</v>
      </c>
      <c r="H380">
        <v>2</v>
      </c>
      <c r="I380">
        <v>3.69</v>
      </c>
      <c r="J380" s="1">
        <v>1.5</v>
      </c>
      <c r="K380" t="str">
        <f t="shared" si="17"/>
        <v>1-2 hours</v>
      </c>
      <c r="L380" t="s">
        <v>17</v>
      </c>
      <c r="M380">
        <v>7</v>
      </c>
      <c r="N380">
        <v>7</v>
      </c>
      <c r="O380">
        <v>9</v>
      </c>
      <c r="P380">
        <v>0</v>
      </c>
    </row>
    <row r="381" spans="1:16" x14ac:dyDescent="0.25">
      <c r="A381">
        <v>19</v>
      </c>
      <c r="B381" t="s">
        <v>11</v>
      </c>
      <c r="C381">
        <v>6.9</v>
      </c>
      <c r="D381" t="str">
        <f t="shared" si="15"/>
        <v>Medium</v>
      </c>
      <c r="E381" t="s">
        <v>12</v>
      </c>
      <c r="F381" s="1">
        <v>5</v>
      </c>
      <c r="G381" t="str">
        <f t="shared" si="16"/>
        <v>Low</v>
      </c>
      <c r="H381">
        <v>1.2</v>
      </c>
      <c r="I381">
        <v>2.56</v>
      </c>
      <c r="J381" s="1">
        <v>1.6</v>
      </c>
      <c r="K381" t="str">
        <f t="shared" si="17"/>
        <v>1-2 hours</v>
      </c>
      <c r="L381" t="s">
        <v>16</v>
      </c>
      <c r="M381">
        <v>3</v>
      </c>
      <c r="N381">
        <v>10</v>
      </c>
      <c r="O381">
        <v>8</v>
      </c>
      <c r="P381">
        <v>0</v>
      </c>
    </row>
    <row r="382" spans="1:16" x14ac:dyDescent="0.25">
      <c r="A382">
        <v>17</v>
      </c>
      <c r="B382" t="s">
        <v>14</v>
      </c>
      <c r="C382">
        <v>3.2</v>
      </c>
      <c r="D382" t="str">
        <f t="shared" si="15"/>
        <v>Medium</v>
      </c>
      <c r="E382" t="s">
        <v>12</v>
      </c>
      <c r="F382" s="1">
        <v>6.2</v>
      </c>
      <c r="G382" t="str">
        <f t="shared" si="16"/>
        <v>Low</v>
      </c>
      <c r="H382">
        <v>2.2000000000000002</v>
      </c>
      <c r="I382">
        <v>2.96</v>
      </c>
      <c r="J382" s="1">
        <v>1.6</v>
      </c>
      <c r="K382" t="str">
        <f t="shared" si="17"/>
        <v>1-2 hours</v>
      </c>
      <c r="L382" t="s">
        <v>13</v>
      </c>
      <c r="M382">
        <v>8</v>
      </c>
      <c r="N382">
        <v>10</v>
      </c>
      <c r="O382">
        <v>9</v>
      </c>
      <c r="P382">
        <v>0</v>
      </c>
    </row>
    <row r="383" spans="1:16" x14ac:dyDescent="0.25">
      <c r="A383">
        <v>18</v>
      </c>
      <c r="B383" t="s">
        <v>14</v>
      </c>
      <c r="C383">
        <v>1.3</v>
      </c>
      <c r="D383" t="str">
        <f t="shared" si="15"/>
        <v>Low</v>
      </c>
      <c r="E383" t="s">
        <v>18</v>
      </c>
      <c r="F383" s="1">
        <v>4.9000000000000004</v>
      </c>
      <c r="G383" t="str">
        <f t="shared" si="16"/>
        <v>Low</v>
      </c>
      <c r="H383">
        <v>0.9</v>
      </c>
      <c r="I383">
        <v>3.86</v>
      </c>
      <c r="J383" s="1">
        <v>0</v>
      </c>
      <c r="K383" t="str">
        <f t="shared" si="17"/>
        <v>No activity</v>
      </c>
      <c r="L383" t="s">
        <v>17</v>
      </c>
      <c r="M383">
        <v>4</v>
      </c>
      <c r="N383">
        <v>9</v>
      </c>
      <c r="O383">
        <v>8</v>
      </c>
      <c r="P383">
        <v>0</v>
      </c>
    </row>
    <row r="384" spans="1:16" x14ac:dyDescent="0.25">
      <c r="A384">
        <v>15</v>
      </c>
      <c r="B384" t="s">
        <v>14</v>
      </c>
      <c r="C384">
        <v>4.2</v>
      </c>
      <c r="D384" t="str">
        <f t="shared" si="15"/>
        <v>Medium</v>
      </c>
      <c r="E384" t="s">
        <v>15</v>
      </c>
      <c r="F384" s="1">
        <v>6.8</v>
      </c>
      <c r="G384" t="str">
        <f t="shared" si="16"/>
        <v>Low</v>
      </c>
      <c r="H384">
        <v>1.1000000000000001</v>
      </c>
      <c r="I384">
        <v>3.37</v>
      </c>
      <c r="J384" s="1">
        <v>0.7</v>
      </c>
      <c r="K384" t="str">
        <f t="shared" si="17"/>
        <v>0-1 hours</v>
      </c>
      <c r="L384" t="s">
        <v>16</v>
      </c>
      <c r="M384">
        <v>3</v>
      </c>
      <c r="N384">
        <v>6</v>
      </c>
      <c r="O384">
        <v>8</v>
      </c>
      <c r="P384">
        <v>0</v>
      </c>
    </row>
    <row r="385" spans="1:16" x14ac:dyDescent="0.25">
      <c r="A385">
        <v>19</v>
      </c>
      <c r="B385" t="s">
        <v>11</v>
      </c>
      <c r="C385">
        <v>6.6</v>
      </c>
      <c r="D385" t="str">
        <f t="shared" si="15"/>
        <v>Medium</v>
      </c>
      <c r="E385" t="s">
        <v>18</v>
      </c>
      <c r="F385" s="1">
        <v>6</v>
      </c>
      <c r="G385" t="str">
        <f t="shared" si="16"/>
        <v>Low</v>
      </c>
      <c r="H385">
        <v>2.1</v>
      </c>
      <c r="I385">
        <v>2.84</v>
      </c>
      <c r="J385" s="1">
        <v>1.5</v>
      </c>
      <c r="K385" t="str">
        <f t="shared" si="17"/>
        <v>1-2 hours</v>
      </c>
      <c r="L385" t="s">
        <v>13</v>
      </c>
      <c r="M385">
        <v>9</v>
      </c>
      <c r="N385">
        <v>4</v>
      </c>
      <c r="O385">
        <v>5</v>
      </c>
      <c r="P385">
        <v>0</v>
      </c>
    </row>
    <row r="386" spans="1:16" x14ac:dyDescent="0.25">
      <c r="A386">
        <v>13</v>
      </c>
      <c r="B386" t="s">
        <v>11</v>
      </c>
      <c r="C386">
        <v>7.5</v>
      </c>
      <c r="D386" t="str">
        <f t="shared" ref="D386:D449" si="18">IF(C386&lt;2,"Low",IF(C386&lt;7,"Medium","High"))</f>
        <v>High</v>
      </c>
      <c r="E386" t="s">
        <v>15</v>
      </c>
      <c r="F386" s="1">
        <v>4.8</v>
      </c>
      <c r="G386" t="str">
        <f t="shared" ref="G386:G449" si="19">IF(F386&gt;=8,"Normal","Low")</f>
        <v>Low</v>
      </c>
      <c r="H386">
        <v>0.7</v>
      </c>
      <c r="I386">
        <v>2.91</v>
      </c>
      <c r="J386" s="1">
        <v>2</v>
      </c>
      <c r="K386" t="str">
        <f t="shared" ref="K386:K449" si="20">IF(J386=0,"No activity",IF(J386&lt;=1,"0-1 hours","1-2 hours"))</f>
        <v>1-2 hours</v>
      </c>
      <c r="L386" t="s">
        <v>16</v>
      </c>
      <c r="M386">
        <v>10</v>
      </c>
      <c r="N386">
        <v>9</v>
      </c>
      <c r="O386">
        <v>1</v>
      </c>
      <c r="P386">
        <v>1</v>
      </c>
    </row>
    <row r="387" spans="1:16" x14ac:dyDescent="0.25">
      <c r="A387">
        <v>15</v>
      </c>
      <c r="B387" t="s">
        <v>11</v>
      </c>
      <c r="C387">
        <v>7</v>
      </c>
      <c r="D387" t="str">
        <f t="shared" si="18"/>
        <v>High</v>
      </c>
      <c r="E387" t="s">
        <v>18</v>
      </c>
      <c r="F387" s="1">
        <v>8.6999999999999993</v>
      </c>
      <c r="G387" t="str">
        <f t="shared" si="19"/>
        <v>Normal</v>
      </c>
      <c r="H387">
        <v>3</v>
      </c>
      <c r="I387">
        <v>2.84</v>
      </c>
      <c r="J387" s="1">
        <v>1.4</v>
      </c>
      <c r="K387" t="str">
        <f t="shared" si="20"/>
        <v>1-2 hours</v>
      </c>
      <c r="L387" t="s">
        <v>17</v>
      </c>
      <c r="M387">
        <v>5</v>
      </c>
      <c r="N387">
        <v>3</v>
      </c>
      <c r="O387">
        <v>2</v>
      </c>
      <c r="P387">
        <v>0</v>
      </c>
    </row>
    <row r="388" spans="1:16" x14ac:dyDescent="0.25">
      <c r="A388">
        <v>15</v>
      </c>
      <c r="B388" t="s">
        <v>14</v>
      </c>
      <c r="C388">
        <v>6.7</v>
      </c>
      <c r="D388" t="str">
        <f t="shared" si="18"/>
        <v>Medium</v>
      </c>
      <c r="E388" t="s">
        <v>18</v>
      </c>
      <c r="F388" s="1">
        <v>5</v>
      </c>
      <c r="G388" t="str">
        <f t="shared" si="19"/>
        <v>Low</v>
      </c>
      <c r="H388">
        <v>0.6</v>
      </c>
      <c r="I388">
        <v>2.75</v>
      </c>
      <c r="J388" s="1">
        <v>1.5</v>
      </c>
      <c r="K388" t="str">
        <f t="shared" si="20"/>
        <v>1-2 hours</v>
      </c>
      <c r="L388" t="s">
        <v>17</v>
      </c>
      <c r="M388">
        <v>7</v>
      </c>
      <c r="N388">
        <v>4</v>
      </c>
      <c r="O388">
        <v>8</v>
      </c>
      <c r="P388">
        <v>0</v>
      </c>
    </row>
    <row r="389" spans="1:16" x14ac:dyDescent="0.25">
      <c r="A389">
        <v>15</v>
      </c>
      <c r="B389" t="s">
        <v>14</v>
      </c>
      <c r="C389">
        <v>2.2999999999999998</v>
      </c>
      <c r="D389" t="str">
        <f t="shared" si="18"/>
        <v>Medium</v>
      </c>
      <c r="E389" t="s">
        <v>12</v>
      </c>
      <c r="F389" s="1">
        <v>5.6</v>
      </c>
      <c r="G389" t="str">
        <f t="shared" si="19"/>
        <v>Low</v>
      </c>
      <c r="H389">
        <v>2.9</v>
      </c>
      <c r="I389">
        <v>2.72</v>
      </c>
      <c r="J389" s="1">
        <v>1</v>
      </c>
      <c r="K389" t="str">
        <f t="shared" si="20"/>
        <v>0-1 hours</v>
      </c>
      <c r="L389" t="s">
        <v>16</v>
      </c>
      <c r="M389">
        <v>6</v>
      </c>
      <c r="N389">
        <v>6</v>
      </c>
      <c r="O389">
        <v>2</v>
      </c>
      <c r="P389">
        <v>0</v>
      </c>
    </row>
    <row r="390" spans="1:16" x14ac:dyDescent="0.25">
      <c r="A390">
        <v>14</v>
      </c>
      <c r="B390" t="s">
        <v>11</v>
      </c>
      <c r="C390">
        <v>5.3</v>
      </c>
      <c r="D390" t="str">
        <f t="shared" si="18"/>
        <v>Medium</v>
      </c>
      <c r="E390" t="s">
        <v>18</v>
      </c>
      <c r="F390" s="1">
        <v>9</v>
      </c>
      <c r="G390" t="str">
        <f t="shared" si="19"/>
        <v>Normal</v>
      </c>
      <c r="H390">
        <v>2.8</v>
      </c>
      <c r="I390">
        <v>3.1</v>
      </c>
      <c r="J390" s="1">
        <v>1.6</v>
      </c>
      <c r="K390" t="str">
        <f t="shared" si="20"/>
        <v>1-2 hours</v>
      </c>
      <c r="L390" t="s">
        <v>16</v>
      </c>
      <c r="M390">
        <v>10</v>
      </c>
      <c r="N390">
        <v>7</v>
      </c>
      <c r="O390">
        <v>6</v>
      </c>
      <c r="P390">
        <v>0</v>
      </c>
    </row>
    <row r="391" spans="1:16" x14ac:dyDescent="0.25">
      <c r="A391">
        <v>13</v>
      </c>
      <c r="B391" t="s">
        <v>14</v>
      </c>
      <c r="C391">
        <v>2.7</v>
      </c>
      <c r="D391" t="str">
        <f t="shared" si="18"/>
        <v>Medium</v>
      </c>
      <c r="E391" t="s">
        <v>15</v>
      </c>
      <c r="F391" s="1">
        <v>6.5</v>
      </c>
      <c r="G391" t="str">
        <f t="shared" si="19"/>
        <v>Low</v>
      </c>
      <c r="H391">
        <v>1.5</v>
      </c>
      <c r="I391">
        <v>2.58</v>
      </c>
      <c r="J391" s="1">
        <v>0.4</v>
      </c>
      <c r="K391" t="str">
        <f t="shared" si="20"/>
        <v>0-1 hours</v>
      </c>
      <c r="L391" t="s">
        <v>16</v>
      </c>
      <c r="M391">
        <v>1</v>
      </c>
      <c r="N391">
        <v>1</v>
      </c>
      <c r="O391">
        <v>6</v>
      </c>
      <c r="P391">
        <v>0</v>
      </c>
    </row>
    <row r="392" spans="1:16" x14ac:dyDescent="0.25">
      <c r="A392">
        <v>13</v>
      </c>
      <c r="B392" t="s">
        <v>11</v>
      </c>
      <c r="C392">
        <v>5.4</v>
      </c>
      <c r="D392" t="str">
        <f t="shared" si="18"/>
        <v>Medium</v>
      </c>
      <c r="E392" t="s">
        <v>12</v>
      </c>
      <c r="F392" s="1">
        <v>7.8</v>
      </c>
      <c r="G392" t="str">
        <f t="shared" si="19"/>
        <v>Low</v>
      </c>
      <c r="H392">
        <v>1.8</v>
      </c>
      <c r="I392">
        <v>3.46</v>
      </c>
      <c r="J392" s="1">
        <v>1</v>
      </c>
      <c r="K392" t="str">
        <f t="shared" si="20"/>
        <v>0-1 hours</v>
      </c>
      <c r="L392" t="s">
        <v>16</v>
      </c>
      <c r="M392">
        <v>4</v>
      </c>
      <c r="N392">
        <v>7</v>
      </c>
      <c r="O392">
        <v>7</v>
      </c>
      <c r="P392">
        <v>0</v>
      </c>
    </row>
    <row r="393" spans="1:16" x14ac:dyDescent="0.25">
      <c r="A393">
        <v>17</v>
      </c>
      <c r="B393" t="s">
        <v>11</v>
      </c>
      <c r="C393">
        <v>7.2</v>
      </c>
      <c r="D393" t="str">
        <f t="shared" si="18"/>
        <v>High</v>
      </c>
      <c r="E393" t="s">
        <v>12</v>
      </c>
      <c r="F393" s="1">
        <v>8</v>
      </c>
      <c r="G393" t="str">
        <f t="shared" si="19"/>
        <v>Normal</v>
      </c>
      <c r="H393">
        <v>1.9</v>
      </c>
      <c r="I393">
        <v>2.66</v>
      </c>
      <c r="J393" s="1">
        <v>1.4</v>
      </c>
      <c r="K393" t="str">
        <f t="shared" si="20"/>
        <v>1-2 hours</v>
      </c>
      <c r="L393" t="s">
        <v>17</v>
      </c>
      <c r="M393">
        <v>5</v>
      </c>
      <c r="N393">
        <v>8</v>
      </c>
      <c r="O393">
        <v>6</v>
      </c>
      <c r="P393">
        <v>0</v>
      </c>
    </row>
    <row r="394" spans="1:16" x14ac:dyDescent="0.25">
      <c r="A394">
        <v>19</v>
      </c>
      <c r="B394" t="s">
        <v>11</v>
      </c>
      <c r="C394">
        <v>1.5</v>
      </c>
      <c r="D394" t="str">
        <f t="shared" si="18"/>
        <v>Low</v>
      </c>
      <c r="E394" t="s">
        <v>15</v>
      </c>
      <c r="F394" s="1">
        <v>6.8</v>
      </c>
      <c r="G394" t="str">
        <f t="shared" si="19"/>
        <v>Low</v>
      </c>
      <c r="H394">
        <v>2.5</v>
      </c>
      <c r="I394">
        <v>2.13</v>
      </c>
      <c r="J394" s="1">
        <v>0.2</v>
      </c>
      <c r="K394" t="str">
        <f t="shared" si="20"/>
        <v>0-1 hours</v>
      </c>
      <c r="L394" t="s">
        <v>17</v>
      </c>
      <c r="M394">
        <v>9</v>
      </c>
      <c r="N394">
        <v>8</v>
      </c>
      <c r="O394">
        <v>10</v>
      </c>
      <c r="P394">
        <v>0</v>
      </c>
    </row>
    <row r="395" spans="1:16" x14ac:dyDescent="0.25">
      <c r="A395">
        <v>13</v>
      </c>
      <c r="B395" t="s">
        <v>11</v>
      </c>
      <c r="C395">
        <v>4</v>
      </c>
      <c r="D395" t="str">
        <f t="shared" si="18"/>
        <v>Medium</v>
      </c>
      <c r="E395" t="s">
        <v>18</v>
      </c>
      <c r="F395" s="1">
        <v>4.2</v>
      </c>
      <c r="G395" t="str">
        <f t="shared" si="19"/>
        <v>Low</v>
      </c>
      <c r="H395">
        <v>0.5</v>
      </c>
      <c r="I395">
        <v>2.46</v>
      </c>
      <c r="J395" s="1">
        <v>0.6</v>
      </c>
      <c r="K395" t="str">
        <f t="shared" si="20"/>
        <v>0-1 hours</v>
      </c>
      <c r="L395" t="s">
        <v>13</v>
      </c>
      <c r="M395">
        <v>2</v>
      </c>
      <c r="N395">
        <v>9</v>
      </c>
      <c r="O395">
        <v>9</v>
      </c>
      <c r="P395">
        <v>0</v>
      </c>
    </row>
    <row r="396" spans="1:16" x14ac:dyDescent="0.25">
      <c r="A396">
        <v>15</v>
      </c>
      <c r="B396" t="s">
        <v>14</v>
      </c>
      <c r="C396">
        <v>4.2</v>
      </c>
      <c r="D396" t="str">
        <f t="shared" si="18"/>
        <v>Medium</v>
      </c>
      <c r="E396" t="s">
        <v>18</v>
      </c>
      <c r="F396" s="1">
        <v>7.1</v>
      </c>
      <c r="G396" t="str">
        <f t="shared" si="19"/>
        <v>Low</v>
      </c>
      <c r="H396">
        <v>2.1</v>
      </c>
      <c r="I396">
        <v>2.21</v>
      </c>
      <c r="J396" s="1">
        <v>1.8</v>
      </c>
      <c r="K396" t="str">
        <f t="shared" si="20"/>
        <v>1-2 hours</v>
      </c>
      <c r="L396" t="s">
        <v>17</v>
      </c>
      <c r="M396">
        <v>4</v>
      </c>
      <c r="N396">
        <v>1</v>
      </c>
      <c r="O396">
        <v>3</v>
      </c>
      <c r="P396">
        <v>0</v>
      </c>
    </row>
    <row r="397" spans="1:16" x14ac:dyDescent="0.25">
      <c r="A397">
        <v>19</v>
      </c>
      <c r="B397" t="s">
        <v>11</v>
      </c>
      <c r="C397">
        <v>1.8</v>
      </c>
      <c r="D397" t="str">
        <f t="shared" si="18"/>
        <v>Low</v>
      </c>
      <c r="E397" t="s">
        <v>15</v>
      </c>
      <c r="F397" s="1">
        <v>7.7</v>
      </c>
      <c r="G397" t="str">
        <f t="shared" si="19"/>
        <v>Low</v>
      </c>
      <c r="H397">
        <v>2.2000000000000002</v>
      </c>
      <c r="I397">
        <v>3.77</v>
      </c>
      <c r="J397" s="1">
        <v>0.3</v>
      </c>
      <c r="K397" t="str">
        <f t="shared" si="20"/>
        <v>0-1 hours</v>
      </c>
      <c r="L397" t="s">
        <v>17</v>
      </c>
      <c r="M397">
        <v>4</v>
      </c>
      <c r="N397">
        <v>6</v>
      </c>
      <c r="O397">
        <v>7</v>
      </c>
      <c r="P397">
        <v>0</v>
      </c>
    </row>
    <row r="398" spans="1:16" x14ac:dyDescent="0.25">
      <c r="A398">
        <v>17</v>
      </c>
      <c r="B398" t="s">
        <v>14</v>
      </c>
      <c r="C398">
        <v>3.3</v>
      </c>
      <c r="D398" t="str">
        <f t="shared" si="18"/>
        <v>Medium</v>
      </c>
      <c r="E398" t="s">
        <v>12</v>
      </c>
      <c r="F398" s="1">
        <v>8.6</v>
      </c>
      <c r="G398" t="str">
        <f t="shared" si="19"/>
        <v>Normal</v>
      </c>
      <c r="H398">
        <v>1.1000000000000001</v>
      </c>
      <c r="I398">
        <v>2.62</v>
      </c>
      <c r="J398" s="1">
        <v>0.4</v>
      </c>
      <c r="K398" t="str">
        <f t="shared" si="20"/>
        <v>0-1 hours</v>
      </c>
      <c r="L398" t="s">
        <v>13</v>
      </c>
      <c r="M398">
        <v>4</v>
      </c>
      <c r="N398">
        <v>7</v>
      </c>
      <c r="O398">
        <v>9</v>
      </c>
      <c r="P398">
        <v>0</v>
      </c>
    </row>
    <row r="399" spans="1:16" x14ac:dyDescent="0.25">
      <c r="A399">
        <v>14</v>
      </c>
      <c r="B399" t="s">
        <v>14</v>
      </c>
      <c r="C399">
        <v>1</v>
      </c>
      <c r="D399" t="str">
        <f t="shared" si="18"/>
        <v>Low</v>
      </c>
      <c r="E399" t="s">
        <v>18</v>
      </c>
      <c r="F399" s="1">
        <v>6.6</v>
      </c>
      <c r="G399" t="str">
        <f t="shared" si="19"/>
        <v>Low</v>
      </c>
      <c r="H399">
        <v>1.4</v>
      </c>
      <c r="I399">
        <v>2.02</v>
      </c>
      <c r="J399" s="1">
        <v>1.9</v>
      </c>
      <c r="K399" t="str">
        <f t="shared" si="20"/>
        <v>1-2 hours</v>
      </c>
      <c r="L399" t="s">
        <v>13</v>
      </c>
      <c r="M399">
        <v>6</v>
      </c>
      <c r="N399">
        <v>5</v>
      </c>
      <c r="O399">
        <v>5</v>
      </c>
      <c r="P399">
        <v>0</v>
      </c>
    </row>
    <row r="400" spans="1:16" x14ac:dyDescent="0.25">
      <c r="A400">
        <v>13</v>
      </c>
      <c r="B400" t="s">
        <v>14</v>
      </c>
      <c r="C400">
        <v>1.2</v>
      </c>
      <c r="D400" t="str">
        <f t="shared" si="18"/>
        <v>Low</v>
      </c>
      <c r="E400" t="s">
        <v>15</v>
      </c>
      <c r="F400" s="1">
        <v>8</v>
      </c>
      <c r="G400" t="str">
        <f t="shared" si="19"/>
        <v>Normal</v>
      </c>
      <c r="H400">
        <v>2.8</v>
      </c>
      <c r="I400">
        <v>2.1800000000000002</v>
      </c>
      <c r="J400" s="1">
        <v>1.1000000000000001</v>
      </c>
      <c r="K400" t="str">
        <f t="shared" si="20"/>
        <v>1-2 hours</v>
      </c>
      <c r="L400" t="s">
        <v>16</v>
      </c>
      <c r="M400">
        <v>5</v>
      </c>
      <c r="N400">
        <v>8</v>
      </c>
      <c r="O400">
        <v>5</v>
      </c>
      <c r="P400">
        <v>0</v>
      </c>
    </row>
    <row r="401" spans="1:16" x14ac:dyDescent="0.25">
      <c r="A401">
        <v>19</v>
      </c>
      <c r="B401" t="s">
        <v>11</v>
      </c>
      <c r="C401">
        <v>2</v>
      </c>
      <c r="D401" t="str">
        <f t="shared" si="18"/>
        <v>Medium</v>
      </c>
      <c r="E401" t="s">
        <v>12</v>
      </c>
      <c r="F401" s="1">
        <v>4.0999999999999996</v>
      </c>
      <c r="G401" t="str">
        <f t="shared" si="19"/>
        <v>Low</v>
      </c>
      <c r="H401">
        <v>1.3</v>
      </c>
      <c r="I401">
        <v>3.71</v>
      </c>
      <c r="J401" s="1">
        <v>1.6</v>
      </c>
      <c r="K401" t="str">
        <f t="shared" si="20"/>
        <v>1-2 hours</v>
      </c>
      <c r="L401" t="s">
        <v>13</v>
      </c>
      <c r="M401">
        <v>7</v>
      </c>
      <c r="N401">
        <v>7</v>
      </c>
      <c r="O401">
        <v>8</v>
      </c>
      <c r="P401">
        <v>0</v>
      </c>
    </row>
    <row r="402" spans="1:16" x14ac:dyDescent="0.25">
      <c r="A402">
        <v>13</v>
      </c>
      <c r="B402" t="s">
        <v>14</v>
      </c>
      <c r="C402">
        <v>7.1</v>
      </c>
      <c r="D402" t="str">
        <f t="shared" si="18"/>
        <v>High</v>
      </c>
      <c r="E402" t="s">
        <v>18</v>
      </c>
      <c r="F402" s="1">
        <v>6.5</v>
      </c>
      <c r="G402" t="str">
        <f t="shared" si="19"/>
        <v>Low</v>
      </c>
      <c r="H402">
        <v>1.6</v>
      </c>
      <c r="I402">
        <v>2.0299999999999998</v>
      </c>
      <c r="J402" s="1">
        <v>0.3</v>
      </c>
      <c r="K402" t="str">
        <f t="shared" si="20"/>
        <v>0-1 hours</v>
      </c>
      <c r="L402" t="s">
        <v>17</v>
      </c>
      <c r="M402">
        <v>1</v>
      </c>
      <c r="N402">
        <v>10</v>
      </c>
      <c r="O402">
        <v>6</v>
      </c>
      <c r="P402">
        <v>0</v>
      </c>
    </row>
    <row r="403" spans="1:16" x14ac:dyDescent="0.25">
      <c r="A403">
        <v>15</v>
      </c>
      <c r="B403" t="s">
        <v>14</v>
      </c>
      <c r="C403">
        <v>5.5</v>
      </c>
      <c r="D403" t="str">
        <f t="shared" si="18"/>
        <v>Medium</v>
      </c>
      <c r="E403" t="s">
        <v>15</v>
      </c>
      <c r="F403" s="1">
        <v>7.8</v>
      </c>
      <c r="G403" t="str">
        <f t="shared" si="19"/>
        <v>Low</v>
      </c>
      <c r="H403">
        <v>1.5</v>
      </c>
      <c r="I403">
        <v>2.79</v>
      </c>
      <c r="J403" s="1">
        <v>0.7</v>
      </c>
      <c r="K403" t="str">
        <f t="shared" si="20"/>
        <v>0-1 hours</v>
      </c>
      <c r="L403" t="s">
        <v>16</v>
      </c>
      <c r="M403">
        <v>9</v>
      </c>
      <c r="N403">
        <v>10</v>
      </c>
      <c r="O403">
        <v>7</v>
      </c>
      <c r="P403">
        <v>0</v>
      </c>
    </row>
    <row r="404" spans="1:16" x14ac:dyDescent="0.25">
      <c r="A404">
        <v>17</v>
      </c>
      <c r="B404" t="s">
        <v>11</v>
      </c>
      <c r="C404">
        <v>7.7</v>
      </c>
      <c r="D404" t="str">
        <f t="shared" si="18"/>
        <v>High</v>
      </c>
      <c r="E404" t="s">
        <v>15</v>
      </c>
      <c r="F404" s="1">
        <v>4.7</v>
      </c>
      <c r="G404" t="str">
        <f t="shared" si="19"/>
        <v>Low</v>
      </c>
      <c r="H404">
        <v>2.8</v>
      </c>
      <c r="I404">
        <v>3.5</v>
      </c>
      <c r="J404" s="1">
        <v>1.5</v>
      </c>
      <c r="K404" t="str">
        <f t="shared" si="20"/>
        <v>1-2 hours</v>
      </c>
      <c r="L404" t="s">
        <v>13</v>
      </c>
      <c r="M404">
        <v>8</v>
      </c>
      <c r="N404">
        <v>4</v>
      </c>
      <c r="O404">
        <v>8</v>
      </c>
      <c r="P404">
        <v>0</v>
      </c>
    </row>
    <row r="405" spans="1:16" x14ac:dyDescent="0.25">
      <c r="A405">
        <v>17</v>
      </c>
      <c r="B405" t="s">
        <v>14</v>
      </c>
      <c r="C405">
        <v>7.6</v>
      </c>
      <c r="D405" t="str">
        <f t="shared" si="18"/>
        <v>High</v>
      </c>
      <c r="E405" t="s">
        <v>12</v>
      </c>
      <c r="F405" s="1">
        <v>5.9</v>
      </c>
      <c r="G405" t="str">
        <f t="shared" si="19"/>
        <v>Low</v>
      </c>
      <c r="H405">
        <v>2</v>
      </c>
      <c r="I405">
        <v>2.52</v>
      </c>
      <c r="J405" s="1">
        <v>1.5</v>
      </c>
      <c r="K405" t="str">
        <f t="shared" si="20"/>
        <v>1-2 hours</v>
      </c>
      <c r="L405" t="s">
        <v>17</v>
      </c>
      <c r="M405">
        <v>1</v>
      </c>
      <c r="N405">
        <v>5</v>
      </c>
      <c r="O405">
        <v>1</v>
      </c>
      <c r="P405">
        <v>0</v>
      </c>
    </row>
    <row r="406" spans="1:16" x14ac:dyDescent="0.25">
      <c r="A406">
        <v>13</v>
      </c>
      <c r="B406" t="s">
        <v>11</v>
      </c>
      <c r="C406">
        <v>8</v>
      </c>
      <c r="D406" t="str">
        <f t="shared" si="18"/>
        <v>High</v>
      </c>
      <c r="E406" t="s">
        <v>12</v>
      </c>
      <c r="F406" s="1">
        <v>6.9</v>
      </c>
      <c r="G406" t="str">
        <f t="shared" si="19"/>
        <v>Low</v>
      </c>
      <c r="H406">
        <v>2.5</v>
      </c>
      <c r="I406">
        <v>2.4500000000000002</v>
      </c>
      <c r="J406" s="1">
        <v>1.7</v>
      </c>
      <c r="K406" t="str">
        <f t="shared" si="20"/>
        <v>1-2 hours</v>
      </c>
      <c r="L406" t="s">
        <v>17</v>
      </c>
      <c r="M406">
        <v>10</v>
      </c>
      <c r="N406">
        <v>1</v>
      </c>
      <c r="O406">
        <v>3</v>
      </c>
      <c r="P406">
        <v>0</v>
      </c>
    </row>
    <row r="407" spans="1:16" x14ac:dyDescent="0.25">
      <c r="A407">
        <v>16</v>
      </c>
      <c r="B407" t="s">
        <v>14</v>
      </c>
      <c r="C407">
        <v>4.3</v>
      </c>
      <c r="D407" t="str">
        <f t="shared" si="18"/>
        <v>Medium</v>
      </c>
      <c r="E407" t="s">
        <v>12</v>
      </c>
      <c r="F407" s="1">
        <v>6</v>
      </c>
      <c r="G407" t="str">
        <f t="shared" si="19"/>
        <v>Low</v>
      </c>
      <c r="H407">
        <v>1.4</v>
      </c>
      <c r="I407">
        <v>2.98</v>
      </c>
      <c r="J407" s="1">
        <v>1.7</v>
      </c>
      <c r="K407" t="str">
        <f t="shared" si="20"/>
        <v>1-2 hours</v>
      </c>
      <c r="L407" t="s">
        <v>13</v>
      </c>
      <c r="M407">
        <v>8</v>
      </c>
      <c r="N407">
        <v>7</v>
      </c>
      <c r="O407">
        <v>4</v>
      </c>
      <c r="P407">
        <v>0</v>
      </c>
    </row>
    <row r="408" spans="1:16" x14ac:dyDescent="0.25">
      <c r="A408">
        <v>13</v>
      </c>
      <c r="B408" t="s">
        <v>11</v>
      </c>
      <c r="C408">
        <v>3.8</v>
      </c>
      <c r="D408" t="str">
        <f t="shared" si="18"/>
        <v>Medium</v>
      </c>
      <c r="E408" t="s">
        <v>18</v>
      </c>
      <c r="F408" s="1">
        <v>5.3</v>
      </c>
      <c r="G408" t="str">
        <f t="shared" si="19"/>
        <v>Low</v>
      </c>
      <c r="H408">
        <v>2.5</v>
      </c>
      <c r="I408">
        <v>3.48</v>
      </c>
      <c r="J408" s="1">
        <v>1</v>
      </c>
      <c r="K408" t="str">
        <f t="shared" si="20"/>
        <v>0-1 hours</v>
      </c>
      <c r="L408" t="s">
        <v>13</v>
      </c>
      <c r="M408">
        <v>6</v>
      </c>
      <c r="N408">
        <v>7</v>
      </c>
      <c r="O408">
        <v>7</v>
      </c>
      <c r="P408">
        <v>0</v>
      </c>
    </row>
    <row r="409" spans="1:16" x14ac:dyDescent="0.25">
      <c r="A409">
        <v>16</v>
      </c>
      <c r="B409" t="s">
        <v>14</v>
      </c>
      <c r="C409">
        <v>2.9</v>
      </c>
      <c r="D409" t="str">
        <f t="shared" si="18"/>
        <v>Medium</v>
      </c>
      <c r="E409" t="s">
        <v>15</v>
      </c>
      <c r="F409" s="1">
        <v>6.3</v>
      </c>
      <c r="G409" t="str">
        <f t="shared" si="19"/>
        <v>Low</v>
      </c>
      <c r="H409">
        <v>3</v>
      </c>
      <c r="I409">
        <v>2.6</v>
      </c>
      <c r="J409" s="1">
        <v>0.4</v>
      </c>
      <c r="K409" t="str">
        <f t="shared" si="20"/>
        <v>0-1 hours</v>
      </c>
      <c r="L409" t="s">
        <v>17</v>
      </c>
      <c r="M409">
        <v>9</v>
      </c>
      <c r="N409">
        <v>7</v>
      </c>
      <c r="O409">
        <v>3</v>
      </c>
      <c r="P409">
        <v>0</v>
      </c>
    </row>
    <row r="410" spans="1:16" x14ac:dyDescent="0.25">
      <c r="A410">
        <v>13</v>
      </c>
      <c r="B410" t="s">
        <v>14</v>
      </c>
      <c r="C410">
        <v>5.3</v>
      </c>
      <c r="D410" t="str">
        <f t="shared" si="18"/>
        <v>Medium</v>
      </c>
      <c r="E410" t="s">
        <v>15</v>
      </c>
      <c r="F410" s="1">
        <v>6.5</v>
      </c>
      <c r="G410" t="str">
        <f t="shared" si="19"/>
        <v>Low</v>
      </c>
      <c r="H410">
        <v>1.1000000000000001</v>
      </c>
      <c r="I410">
        <v>3.48</v>
      </c>
      <c r="J410" s="1">
        <v>1.8</v>
      </c>
      <c r="K410" t="str">
        <f t="shared" si="20"/>
        <v>1-2 hours</v>
      </c>
      <c r="L410" t="s">
        <v>13</v>
      </c>
      <c r="M410">
        <v>9</v>
      </c>
      <c r="N410">
        <v>5</v>
      </c>
      <c r="O410">
        <v>4</v>
      </c>
      <c r="P410">
        <v>0</v>
      </c>
    </row>
    <row r="411" spans="1:16" x14ac:dyDescent="0.25">
      <c r="A411">
        <v>15</v>
      </c>
      <c r="B411" t="s">
        <v>14</v>
      </c>
      <c r="C411">
        <v>5.7</v>
      </c>
      <c r="D411" t="str">
        <f t="shared" si="18"/>
        <v>Medium</v>
      </c>
      <c r="E411" t="s">
        <v>12</v>
      </c>
      <c r="F411" s="1">
        <v>7.5</v>
      </c>
      <c r="G411" t="str">
        <f t="shared" si="19"/>
        <v>Low</v>
      </c>
      <c r="H411">
        <v>2.4</v>
      </c>
      <c r="I411">
        <v>2.84</v>
      </c>
      <c r="J411" s="1">
        <v>1.3</v>
      </c>
      <c r="K411" t="str">
        <f t="shared" si="20"/>
        <v>1-2 hours</v>
      </c>
      <c r="L411" t="s">
        <v>17</v>
      </c>
      <c r="M411">
        <v>10</v>
      </c>
      <c r="N411">
        <v>10</v>
      </c>
      <c r="O411">
        <v>2</v>
      </c>
      <c r="P411">
        <v>0</v>
      </c>
    </row>
    <row r="412" spans="1:16" x14ac:dyDescent="0.25">
      <c r="A412">
        <v>18</v>
      </c>
      <c r="B412" t="s">
        <v>14</v>
      </c>
      <c r="C412">
        <v>2.8</v>
      </c>
      <c r="D412" t="str">
        <f t="shared" si="18"/>
        <v>Medium</v>
      </c>
      <c r="E412" t="s">
        <v>12</v>
      </c>
      <c r="F412" s="1">
        <v>7.4</v>
      </c>
      <c r="G412" t="str">
        <f t="shared" si="19"/>
        <v>Low</v>
      </c>
      <c r="H412">
        <v>1</v>
      </c>
      <c r="I412">
        <v>3.73</v>
      </c>
      <c r="J412" s="1">
        <v>1.9</v>
      </c>
      <c r="K412" t="str">
        <f t="shared" si="20"/>
        <v>1-2 hours</v>
      </c>
      <c r="L412" t="s">
        <v>13</v>
      </c>
      <c r="M412">
        <v>7</v>
      </c>
      <c r="N412">
        <v>3</v>
      </c>
      <c r="O412">
        <v>6</v>
      </c>
      <c r="P412">
        <v>0</v>
      </c>
    </row>
    <row r="413" spans="1:16" x14ac:dyDescent="0.25">
      <c r="A413">
        <v>15</v>
      </c>
      <c r="B413" t="s">
        <v>11</v>
      </c>
      <c r="C413">
        <v>2.8</v>
      </c>
      <c r="D413" t="str">
        <f t="shared" si="18"/>
        <v>Medium</v>
      </c>
      <c r="E413" t="s">
        <v>15</v>
      </c>
      <c r="F413" s="1">
        <v>6.1</v>
      </c>
      <c r="G413" t="str">
        <f t="shared" si="19"/>
        <v>Low</v>
      </c>
      <c r="H413">
        <v>2.9</v>
      </c>
      <c r="I413">
        <v>2.98</v>
      </c>
      <c r="J413" s="1">
        <v>1.8</v>
      </c>
      <c r="K413" t="str">
        <f t="shared" si="20"/>
        <v>1-2 hours</v>
      </c>
      <c r="L413" t="s">
        <v>17</v>
      </c>
      <c r="M413">
        <v>6</v>
      </c>
      <c r="N413">
        <v>3</v>
      </c>
      <c r="O413">
        <v>7</v>
      </c>
      <c r="P413">
        <v>0</v>
      </c>
    </row>
    <row r="414" spans="1:16" x14ac:dyDescent="0.25">
      <c r="A414">
        <v>13</v>
      </c>
      <c r="B414" t="s">
        <v>14</v>
      </c>
      <c r="C414">
        <v>1.1000000000000001</v>
      </c>
      <c r="D414" t="str">
        <f t="shared" si="18"/>
        <v>Low</v>
      </c>
      <c r="E414" t="s">
        <v>12</v>
      </c>
      <c r="F414" s="1">
        <v>7</v>
      </c>
      <c r="G414" t="str">
        <f t="shared" si="19"/>
        <v>Low</v>
      </c>
      <c r="H414">
        <v>1.9</v>
      </c>
      <c r="I414">
        <v>4</v>
      </c>
      <c r="J414" s="1">
        <v>0.9</v>
      </c>
      <c r="K414" t="str">
        <f t="shared" si="20"/>
        <v>0-1 hours</v>
      </c>
      <c r="L414" t="s">
        <v>17</v>
      </c>
      <c r="M414">
        <v>2</v>
      </c>
      <c r="N414">
        <v>9</v>
      </c>
      <c r="O414">
        <v>6</v>
      </c>
      <c r="P414">
        <v>0</v>
      </c>
    </row>
    <row r="415" spans="1:16" x14ac:dyDescent="0.25">
      <c r="A415">
        <v>14</v>
      </c>
      <c r="B415" t="s">
        <v>14</v>
      </c>
      <c r="C415">
        <v>2</v>
      </c>
      <c r="D415" t="str">
        <f t="shared" si="18"/>
        <v>Medium</v>
      </c>
      <c r="E415" t="s">
        <v>18</v>
      </c>
      <c r="F415" s="1">
        <v>5</v>
      </c>
      <c r="G415" t="str">
        <f t="shared" si="19"/>
        <v>Low</v>
      </c>
      <c r="H415">
        <v>2.6</v>
      </c>
      <c r="I415">
        <v>2.71</v>
      </c>
      <c r="J415" s="1">
        <v>2</v>
      </c>
      <c r="K415" t="str">
        <f t="shared" si="20"/>
        <v>1-2 hours</v>
      </c>
      <c r="L415" t="s">
        <v>13</v>
      </c>
      <c r="M415">
        <v>5</v>
      </c>
      <c r="N415">
        <v>4</v>
      </c>
      <c r="O415">
        <v>3</v>
      </c>
      <c r="P415">
        <v>0</v>
      </c>
    </row>
    <row r="416" spans="1:16" x14ac:dyDescent="0.25">
      <c r="A416">
        <v>16</v>
      </c>
      <c r="B416" t="s">
        <v>14</v>
      </c>
      <c r="C416">
        <v>6.5</v>
      </c>
      <c r="D416" t="str">
        <f t="shared" si="18"/>
        <v>Medium</v>
      </c>
      <c r="E416" t="s">
        <v>15</v>
      </c>
      <c r="F416" s="1">
        <v>5.3</v>
      </c>
      <c r="G416" t="str">
        <f t="shared" si="19"/>
        <v>Low</v>
      </c>
      <c r="H416">
        <v>1.8</v>
      </c>
      <c r="I416">
        <v>2.29</v>
      </c>
      <c r="J416" s="1">
        <v>0.2</v>
      </c>
      <c r="K416" t="str">
        <f t="shared" si="20"/>
        <v>0-1 hours</v>
      </c>
      <c r="L416" t="s">
        <v>16</v>
      </c>
      <c r="M416">
        <v>4</v>
      </c>
      <c r="N416">
        <v>10</v>
      </c>
      <c r="O416">
        <v>2</v>
      </c>
      <c r="P416">
        <v>0</v>
      </c>
    </row>
    <row r="417" spans="1:16" x14ac:dyDescent="0.25">
      <c r="A417">
        <v>16</v>
      </c>
      <c r="B417" t="s">
        <v>14</v>
      </c>
      <c r="C417">
        <v>7.5</v>
      </c>
      <c r="D417" t="str">
        <f t="shared" si="18"/>
        <v>High</v>
      </c>
      <c r="E417" t="s">
        <v>15</v>
      </c>
      <c r="F417" s="1">
        <v>7.8</v>
      </c>
      <c r="G417" t="str">
        <f t="shared" si="19"/>
        <v>Low</v>
      </c>
      <c r="H417">
        <v>1.3</v>
      </c>
      <c r="I417">
        <v>2.73</v>
      </c>
      <c r="J417" s="1">
        <v>1.5</v>
      </c>
      <c r="K417" t="str">
        <f t="shared" si="20"/>
        <v>1-2 hours</v>
      </c>
      <c r="L417" t="s">
        <v>17</v>
      </c>
      <c r="M417">
        <v>4</v>
      </c>
      <c r="N417">
        <v>5</v>
      </c>
      <c r="O417">
        <v>8</v>
      </c>
      <c r="P417">
        <v>0</v>
      </c>
    </row>
    <row r="418" spans="1:16" x14ac:dyDescent="0.25">
      <c r="A418">
        <v>16</v>
      </c>
      <c r="B418" t="s">
        <v>14</v>
      </c>
      <c r="C418">
        <v>3.1</v>
      </c>
      <c r="D418" t="str">
        <f t="shared" si="18"/>
        <v>Medium</v>
      </c>
      <c r="E418" t="s">
        <v>12</v>
      </c>
      <c r="F418" s="1">
        <v>7.9</v>
      </c>
      <c r="G418" t="str">
        <f t="shared" si="19"/>
        <v>Low</v>
      </c>
      <c r="H418">
        <v>1.2</v>
      </c>
      <c r="I418">
        <v>2.85</v>
      </c>
      <c r="J418" s="1">
        <v>0.7</v>
      </c>
      <c r="K418" t="str">
        <f t="shared" si="20"/>
        <v>0-1 hours</v>
      </c>
      <c r="L418" t="s">
        <v>16</v>
      </c>
      <c r="M418">
        <v>2</v>
      </c>
      <c r="N418">
        <v>2</v>
      </c>
      <c r="O418">
        <v>5</v>
      </c>
      <c r="P418">
        <v>0</v>
      </c>
    </row>
    <row r="419" spans="1:16" x14ac:dyDescent="0.25">
      <c r="A419">
        <v>19</v>
      </c>
      <c r="B419" t="s">
        <v>11</v>
      </c>
      <c r="C419">
        <v>5.9</v>
      </c>
      <c r="D419" t="str">
        <f t="shared" si="18"/>
        <v>Medium</v>
      </c>
      <c r="E419" t="s">
        <v>18</v>
      </c>
      <c r="F419" s="1">
        <v>7</v>
      </c>
      <c r="G419" t="str">
        <f t="shared" si="19"/>
        <v>Low</v>
      </c>
      <c r="H419">
        <v>2.2999999999999998</v>
      </c>
      <c r="I419">
        <v>3</v>
      </c>
      <c r="J419" s="1">
        <v>1.6</v>
      </c>
      <c r="K419" t="str">
        <f t="shared" si="20"/>
        <v>1-2 hours</v>
      </c>
      <c r="L419" t="s">
        <v>13</v>
      </c>
      <c r="M419">
        <v>3</v>
      </c>
      <c r="N419">
        <v>5</v>
      </c>
      <c r="O419">
        <v>10</v>
      </c>
      <c r="P419">
        <v>0</v>
      </c>
    </row>
    <row r="420" spans="1:16" x14ac:dyDescent="0.25">
      <c r="A420">
        <v>15</v>
      </c>
      <c r="B420" t="s">
        <v>11</v>
      </c>
      <c r="C420">
        <v>7.9</v>
      </c>
      <c r="D420" t="str">
        <f t="shared" si="18"/>
        <v>High</v>
      </c>
      <c r="E420" t="s">
        <v>15</v>
      </c>
      <c r="F420" s="1">
        <v>4.0999999999999996</v>
      </c>
      <c r="G420" t="str">
        <f t="shared" si="19"/>
        <v>Low</v>
      </c>
      <c r="H420">
        <v>0.7</v>
      </c>
      <c r="I420">
        <v>2.33</v>
      </c>
      <c r="J420" s="1">
        <v>1.2</v>
      </c>
      <c r="K420" t="str">
        <f t="shared" si="20"/>
        <v>1-2 hours</v>
      </c>
      <c r="L420" t="s">
        <v>17</v>
      </c>
      <c r="M420">
        <v>3</v>
      </c>
      <c r="N420">
        <v>8</v>
      </c>
      <c r="O420">
        <v>1</v>
      </c>
      <c r="P420">
        <v>0</v>
      </c>
    </row>
    <row r="421" spans="1:16" x14ac:dyDescent="0.25">
      <c r="A421">
        <v>15</v>
      </c>
      <c r="B421" t="s">
        <v>11</v>
      </c>
      <c r="C421">
        <v>5.0999999999999996</v>
      </c>
      <c r="D421" t="str">
        <f t="shared" si="18"/>
        <v>Medium</v>
      </c>
      <c r="E421" t="s">
        <v>12</v>
      </c>
      <c r="F421" s="1">
        <v>7.4</v>
      </c>
      <c r="G421" t="str">
        <f t="shared" si="19"/>
        <v>Low</v>
      </c>
      <c r="H421">
        <v>0.7</v>
      </c>
      <c r="I421">
        <v>2.64</v>
      </c>
      <c r="J421" s="1">
        <v>0.2</v>
      </c>
      <c r="K421" t="str">
        <f t="shared" si="20"/>
        <v>0-1 hours</v>
      </c>
      <c r="L421" t="s">
        <v>17</v>
      </c>
      <c r="M421">
        <v>5</v>
      </c>
      <c r="N421">
        <v>8</v>
      </c>
      <c r="O421">
        <v>1</v>
      </c>
      <c r="P421">
        <v>0</v>
      </c>
    </row>
    <row r="422" spans="1:16" x14ac:dyDescent="0.25">
      <c r="A422">
        <v>16</v>
      </c>
      <c r="B422" t="s">
        <v>11</v>
      </c>
      <c r="C422">
        <v>1.9</v>
      </c>
      <c r="D422" t="str">
        <f t="shared" si="18"/>
        <v>Low</v>
      </c>
      <c r="E422" t="s">
        <v>18</v>
      </c>
      <c r="F422" s="1">
        <v>5.8</v>
      </c>
      <c r="G422" t="str">
        <f t="shared" si="19"/>
        <v>Low</v>
      </c>
      <c r="H422">
        <v>2.1</v>
      </c>
      <c r="I422">
        <v>2.27</v>
      </c>
      <c r="J422" s="1">
        <v>0.6</v>
      </c>
      <c r="K422" t="str">
        <f t="shared" si="20"/>
        <v>0-1 hours</v>
      </c>
      <c r="L422" t="s">
        <v>17</v>
      </c>
      <c r="M422">
        <v>3</v>
      </c>
      <c r="N422">
        <v>3</v>
      </c>
      <c r="O422">
        <v>2</v>
      </c>
      <c r="P422">
        <v>0</v>
      </c>
    </row>
    <row r="423" spans="1:16" x14ac:dyDescent="0.25">
      <c r="A423">
        <v>17</v>
      </c>
      <c r="B423" t="s">
        <v>11</v>
      </c>
      <c r="C423">
        <v>8</v>
      </c>
      <c r="D423" t="str">
        <f t="shared" si="18"/>
        <v>High</v>
      </c>
      <c r="E423" t="s">
        <v>12</v>
      </c>
      <c r="F423" s="1">
        <v>8.6999999999999993</v>
      </c>
      <c r="G423" t="str">
        <f t="shared" si="19"/>
        <v>Normal</v>
      </c>
      <c r="H423">
        <v>1.5</v>
      </c>
      <c r="I423">
        <v>3.7</v>
      </c>
      <c r="J423" s="1">
        <v>2</v>
      </c>
      <c r="K423" t="str">
        <f t="shared" si="20"/>
        <v>1-2 hours</v>
      </c>
      <c r="L423" t="s">
        <v>16</v>
      </c>
      <c r="M423">
        <v>10</v>
      </c>
      <c r="N423">
        <v>9</v>
      </c>
      <c r="O423">
        <v>5</v>
      </c>
      <c r="P423">
        <v>0</v>
      </c>
    </row>
    <row r="424" spans="1:16" x14ac:dyDescent="0.25">
      <c r="A424">
        <v>19</v>
      </c>
      <c r="B424" t="s">
        <v>11</v>
      </c>
      <c r="C424">
        <v>2.9</v>
      </c>
      <c r="D424" t="str">
        <f t="shared" si="18"/>
        <v>Medium</v>
      </c>
      <c r="E424" t="s">
        <v>18</v>
      </c>
      <c r="F424" s="1">
        <v>4</v>
      </c>
      <c r="G424" t="str">
        <f t="shared" si="19"/>
        <v>Low</v>
      </c>
      <c r="H424">
        <v>0.5</v>
      </c>
      <c r="I424">
        <v>3.16</v>
      </c>
      <c r="J424" s="1">
        <v>0.2</v>
      </c>
      <c r="K424" t="str">
        <f t="shared" si="20"/>
        <v>0-1 hours</v>
      </c>
      <c r="L424" t="s">
        <v>16</v>
      </c>
      <c r="M424">
        <v>7</v>
      </c>
      <c r="N424">
        <v>6</v>
      </c>
      <c r="O424">
        <v>3</v>
      </c>
      <c r="P424">
        <v>0</v>
      </c>
    </row>
    <row r="425" spans="1:16" x14ac:dyDescent="0.25">
      <c r="A425">
        <v>14</v>
      </c>
      <c r="B425" t="s">
        <v>11</v>
      </c>
      <c r="C425">
        <v>4.3</v>
      </c>
      <c r="D425" t="str">
        <f t="shared" si="18"/>
        <v>Medium</v>
      </c>
      <c r="E425" t="s">
        <v>12</v>
      </c>
      <c r="F425" s="1">
        <v>8.4</v>
      </c>
      <c r="G425" t="str">
        <f t="shared" si="19"/>
        <v>Normal</v>
      </c>
      <c r="H425">
        <v>0.9</v>
      </c>
      <c r="I425">
        <v>3.2</v>
      </c>
      <c r="J425" s="1">
        <v>1.6</v>
      </c>
      <c r="K425" t="str">
        <f t="shared" si="20"/>
        <v>1-2 hours</v>
      </c>
      <c r="L425" t="s">
        <v>16</v>
      </c>
      <c r="M425">
        <v>10</v>
      </c>
      <c r="N425">
        <v>10</v>
      </c>
      <c r="O425">
        <v>1</v>
      </c>
      <c r="P425">
        <v>0</v>
      </c>
    </row>
    <row r="426" spans="1:16" x14ac:dyDescent="0.25">
      <c r="A426">
        <v>16</v>
      </c>
      <c r="B426" t="s">
        <v>11</v>
      </c>
      <c r="C426">
        <v>1.1000000000000001</v>
      </c>
      <c r="D426" t="str">
        <f t="shared" si="18"/>
        <v>Low</v>
      </c>
      <c r="E426" t="s">
        <v>12</v>
      </c>
      <c r="F426" s="1">
        <v>6.4</v>
      </c>
      <c r="G426" t="str">
        <f t="shared" si="19"/>
        <v>Low</v>
      </c>
      <c r="H426">
        <v>3</v>
      </c>
      <c r="I426">
        <v>2.5099999999999998</v>
      </c>
      <c r="J426" s="1">
        <v>0.1</v>
      </c>
      <c r="K426" t="str">
        <f t="shared" si="20"/>
        <v>0-1 hours</v>
      </c>
      <c r="L426" t="s">
        <v>17</v>
      </c>
      <c r="M426">
        <v>8</v>
      </c>
      <c r="N426">
        <v>6</v>
      </c>
      <c r="O426">
        <v>9</v>
      </c>
      <c r="P426">
        <v>0</v>
      </c>
    </row>
    <row r="427" spans="1:16" x14ac:dyDescent="0.25">
      <c r="A427">
        <v>16</v>
      </c>
      <c r="B427" t="s">
        <v>11</v>
      </c>
      <c r="C427">
        <v>4.9000000000000004</v>
      </c>
      <c r="D427" t="str">
        <f t="shared" si="18"/>
        <v>Medium</v>
      </c>
      <c r="E427" t="s">
        <v>12</v>
      </c>
      <c r="F427" s="1">
        <v>5.7</v>
      </c>
      <c r="G427" t="str">
        <f t="shared" si="19"/>
        <v>Low</v>
      </c>
      <c r="H427">
        <v>1.2</v>
      </c>
      <c r="I427">
        <v>2.0699999999999998</v>
      </c>
      <c r="J427" s="1">
        <v>0.1</v>
      </c>
      <c r="K427" t="str">
        <f t="shared" si="20"/>
        <v>0-1 hours</v>
      </c>
      <c r="L427" t="s">
        <v>17</v>
      </c>
      <c r="M427">
        <v>8</v>
      </c>
      <c r="N427">
        <v>2</v>
      </c>
      <c r="O427">
        <v>1</v>
      </c>
      <c r="P427">
        <v>0</v>
      </c>
    </row>
    <row r="428" spans="1:16" x14ac:dyDescent="0.25">
      <c r="A428">
        <v>14</v>
      </c>
      <c r="B428" t="s">
        <v>11</v>
      </c>
      <c r="C428">
        <v>6.1</v>
      </c>
      <c r="D428" t="str">
        <f t="shared" si="18"/>
        <v>Medium</v>
      </c>
      <c r="E428" t="s">
        <v>18</v>
      </c>
      <c r="F428" s="1">
        <v>7.6</v>
      </c>
      <c r="G428" t="str">
        <f t="shared" si="19"/>
        <v>Low</v>
      </c>
      <c r="H428">
        <v>1.4</v>
      </c>
      <c r="I428">
        <v>2.72</v>
      </c>
      <c r="J428" s="1">
        <v>0.9</v>
      </c>
      <c r="K428" t="str">
        <f t="shared" si="20"/>
        <v>0-1 hours</v>
      </c>
      <c r="L428" t="s">
        <v>13</v>
      </c>
      <c r="M428">
        <v>9</v>
      </c>
      <c r="N428">
        <v>3</v>
      </c>
      <c r="O428">
        <v>3</v>
      </c>
      <c r="P428">
        <v>0</v>
      </c>
    </row>
    <row r="429" spans="1:16" x14ac:dyDescent="0.25">
      <c r="A429">
        <v>15</v>
      </c>
      <c r="B429" t="s">
        <v>14</v>
      </c>
      <c r="C429">
        <v>2.7</v>
      </c>
      <c r="D429" t="str">
        <f t="shared" si="18"/>
        <v>Medium</v>
      </c>
      <c r="E429" t="s">
        <v>18</v>
      </c>
      <c r="F429" s="1">
        <v>6.5</v>
      </c>
      <c r="G429" t="str">
        <f t="shared" si="19"/>
        <v>Low</v>
      </c>
      <c r="H429">
        <v>1.6</v>
      </c>
      <c r="I429">
        <v>2.14</v>
      </c>
      <c r="J429" s="1">
        <v>0.4</v>
      </c>
      <c r="K429" t="str">
        <f t="shared" si="20"/>
        <v>0-1 hours</v>
      </c>
      <c r="L429" t="s">
        <v>16</v>
      </c>
      <c r="M429">
        <v>6</v>
      </c>
      <c r="N429">
        <v>6</v>
      </c>
      <c r="O429">
        <v>6</v>
      </c>
      <c r="P429">
        <v>0</v>
      </c>
    </row>
    <row r="430" spans="1:16" x14ac:dyDescent="0.25">
      <c r="A430">
        <v>16</v>
      </c>
      <c r="B430" t="s">
        <v>14</v>
      </c>
      <c r="C430">
        <v>7.8</v>
      </c>
      <c r="D430" t="str">
        <f t="shared" si="18"/>
        <v>High</v>
      </c>
      <c r="E430" t="s">
        <v>18</v>
      </c>
      <c r="F430" s="1">
        <v>7.4</v>
      </c>
      <c r="G430" t="str">
        <f t="shared" si="19"/>
        <v>Low</v>
      </c>
      <c r="H430">
        <v>0.7</v>
      </c>
      <c r="I430">
        <v>2.54</v>
      </c>
      <c r="J430" s="1">
        <v>1.2</v>
      </c>
      <c r="K430" t="str">
        <f t="shared" si="20"/>
        <v>1-2 hours</v>
      </c>
      <c r="L430" t="s">
        <v>17</v>
      </c>
      <c r="M430">
        <v>10</v>
      </c>
      <c r="N430">
        <v>4</v>
      </c>
      <c r="O430">
        <v>9</v>
      </c>
      <c r="P430">
        <v>0</v>
      </c>
    </row>
    <row r="431" spans="1:16" x14ac:dyDescent="0.25">
      <c r="A431">
        <v>18</v>
      </c>
      <c r="B431" t="s">
        <v>11</v>
      </c>
      <c r="C431">
        <v>4.2</v>
      </c>
      <c r="D431" t="str">
        <f t="shared" si="18"/>
        <v>Medium</v>
      </c>
      <c r="E431" t="s">
        <v>15</v>
      </c>
      <c r="F431" s="1">
        <v>6.5</v>
      </c>
      <c r="G431" t="str">
        <f t="shared" si="19"/>
        <v>Low</v>
      </c>
      <c r="H431">
        <v>1.4</v>
      </c>
      <c r="I431">
        <v>2.91</v>
      </c>
      <c r="J431" s="1">
        <v>1.5</v>
      </c>
      <c r="K431" t="str">
        <f t="shared" si="20"/>
        <v>1-2 hours</v>
      </c>
      <c r="L431" t="s">
        <v>13</v>
      </c>
      <c r="M431">
        <v>5</v>
      </c>
      <c r="N431">
        <v>6</v>
      </c>
      <c r="O431">
        <v>4</v>
      </c>
      <c r="P431">
        <v>0</v>
      </c>
    </row>
    <row r="432" spans="1:16" x14ac:dyDescent="0.25">
      <c r="A432">
        <v>13</v>
      </c>
      <c r="B432" t="s">
        <v>14</v>
      </c>
      <c r="C432">
        <v>4.4000000000000004</v>
      </c>
      <c r="D432" t="str">
        <f t="shared" si="18"/>
        <v>Medium</v>
      </c>
      <c r="E432" t="s">
        <v>12</v>
      </c>
      <c r="F432" s="1">
        <v>5.5</v>
      </c>
      <c r="G432" t="str">
        <f t="shared" si="19"/>
        <v>Low</v>
      </c>
      <c r="H432">
        <v>2.7</v>
      </c>
      <c r="I432">
        <v>3.17</v>
      </c>
      <c r="J432" s="1">
        <v>0.3</v>
      </c>
      <c r="K432" t="str">
        <f t="shared" si="20"/>
        <v>0-1 hours</v>
      </c>
      <c r="L432" t="s">
        <v>13</v>
      </c>
      <c r="M432">
        <v>5</v>
      </c>
      <c r="N432">
        <v>1</v>
      </c>
      <c r="O432">
        <v>5</v>
      </c>
      <c r="P432">
        <v>0</v>
      </c>
    </row>
    <row r="433" spans="1:16" x14ac:dyDescent="0.25">
      <c r="A433">
        <v>13</v>
      </c>
      <c r="B433" t="s">
        <v>14</v>
      </c>
      <c r="C433">
        <v>1.4</v>
      </c>
      <c r="D433" t="str">
        <f t="shared" si="18"/>
        <v>Low</v>
      </c>
      <c r="E433" t="s">
        <v>18</v>
      </c>
      <c r="F433" s="1">
        <v>7.8</v>
      </c>
      <c r="G433" t="str">
        <f t="shared" si="19"/>
        <v>Low</v>
      </c>
      <c r="H433">
        <v>0.6</v>
      </c>
      <c r="I433">
        <v>3.42</v>
      </c>
      <c r="J433" s="1">
        <v>1.6</v>
      </c>
      <c r="K433" t="str">
        <f t="shared" si="20"/>
        <v>1-2 hours</v>
      </c>
      <c r="L433" t="s">
        <v>17</v>
      </c>
      <c r="M433">
        <v>10</v>
      </c>
      <c r="N433">
        <v>4</v>
      </c>
      <c r="O433">
        <v>6</v>
      </c>
      <c r="P433">
        <v>0</v>
      </c>
    </row>
    <row r="434" spans="1:16" x14ac:dyDescent="0.25">
      <c r="A434">
        <v>17</v>
      </c>
      <c r="B434" t="s">
        <v>11</v>
      </c>
      <c r="C434">
        <v>3.7</v>
      </c>
      <c r="D434" t="str">
        <f t="shared" si="18"/>
        <v>Medium</v>
      </c>
      <c r="E434" t="s">
        <v>15</v>
      </c>
      <c r="F434" s="1">
        <v>7.2</v>
      </c>
      <c r="G434" t="str">
        <f t="shared" si="19"/>
        <v>Low</v>
      </c>
      <c r="H434">
        <v>0.6</v>
      </c>
      <c r="I434">
        <v>3.34</v>
      </c>
      <c r="J434" s="1">
        <v>1.8</v>
      </c>
      <c r="K434" t="str">
        <f t="shared" si="20"/>
        <v>1-2 hours</v>
      </c>
      <c r="L434" t="s">
        <v>16</v>
      </c>
      <c r="M434">
        <v>2</v>
      </c>
      <c r="N434">
        <v>6</v>
      </c>
      <c r="O434">
        <v>2</v>
      </c>
      <c r="P434">
        <v>0</v>
      </c>
    </row>
    <row r="435" spans="1:16" x14ac:dyDescent="0.25">
      <c r="A435">
        <v>14</v>
      </c>
      <c r="B435" t="s">
        <v>11</v>
      </c>
      <c r="C435">
        <v>3.8</v>
      </c>
      <c r="D435" t="str">
        <f t="shared" si="18"/>
        <v>Medium</v>
      </c>
      <c r="E435" t="s">
        <v>12</v>
      </c>
      <c r="F435" s="1">
        <v>8.9</v>
      </c>
      <c r="G435" t="str">
        <f t="shared" si="19"/>
        <v>Normal</v>
      </c>
      <c r="H435">
        <v>1.9</v>
      </c>
      <c r="I435">
        <v>2.77</v>
      </c>
      <c r="J435" s="1">
        <v>0.2</v>
      </c>
      <c r="K435" t="str">
        <f t="shared" si="20"/>
        <v>0-1 hours</v>
      </c>
      <c r="L435" t="s">
        <v>17</v>
      </c>
      <c r="M435">
        <v>6</v>
      </c>
      <c r="N435">
        <v>2</v>
      </c>
      <c r="O435">
        <v>2</v>
      </c>
      <c r="P435">
        <v>0</v>
      </c>
    </row>
    <row r="436" spans="1:16" x14ac:dyDescent="0.25">
      <c r="A436">
        <v>15</v>
      </c>
      <c r="B436" t="s">
        <v>14</v>
      </c>
      <c r="C436">
        <v>5.4</v>
      </c>
      <c r="D436" t="str">
        <f t="shared" si="18"/>
        <v>Medium</v>
      </c>
      <c r="E436" t="s">
        <v>15</v>
      </c>
      <c r="F436" s="1">
        <v>7</v>
      </c>
      <c r="G436" t="str">
        <f t="shared" si="19"/>
        <v>Low</v>
      </c>
      <c r="H436">
        <v>1.8</v>
      </c>
      <c r="I436">
        <v>2.54</v>
      </c>
      <c r="J436" s="1">
        <v>0.1</v>
      </c>
      <c r="K436" t="str">
        <f t="shared" si="20"/>
        <v>0-1 hours</v>
      </c>
      <c r="L436" t="s">
        <v>13</v>
      </c>
      <c r="M436">
        <v>1</v>
      </c>
      <c r="N436">
        <v>4</v>
      </c>
      <c r="O436">
        <v>4</v>
      </c>
      <c r="P436">
        <v>0</v>
      </c>
    </row>
    <row r="437" spans="1:16" x14ac:dyDescent="0.25">
      <c r="A437">
        <v>17</v>
      </c>
      <c r="B437" t="s">
        <v>11</v>
      </c>
      <c r="C437">
        <v>4</v>
      </c>
      <c r="D437" t="str">
        <f t="shared" si="18"/>
        <v>Medium</v>
      </c>
      <c r="E437" t="s">
        <v>18</v>
      </c>
      <c r="F437" s="1">
        <v>4.3</v>
      </c>
      <c r="G437" t="str">
        <f t="shared" si="19"/>
        <v>Low</v>
      </c>
      <c r="H437">
        <v>1.8</v>
      </c>
      <c r="I437">
        <v>2.17</v>
      </c>
      <c r="J437" s="1">
        <v>0.9</v>
      </c>
      <c r="K437" t="str">
        <f t="shared" si="20"/>
        <v>0-1 hours</v>
      </c>
      <c r="L437" t="s">
        <v>16</v>
      </c>
      <c r="M437">
        <v>8</v>
      </c>
      <c r="N437">
        <v>8</v>
      </c>
      <c r="O437">
        <v>3</v>
      </c>
      <c r="P437">
        <v>0</v>
      </c>
    </row>
    <row r="438" spans="1:16" x14ac:dyDescent="0.25">
      <c r="A438">
        <v>19</v>
      </c>
      <c r="B438" t="s">
        <v>11</v>
      </c>
      <c r="C438">
        <v>3.5</v>
      </c>
      <c r="D438" t="str">
        <f t="shared" si="18"/>
        <v>Medium</v>
      </c>
      <c r="E438" t="s">
        <v>15</v>
      </c>
      <c r="F438" s="1">
        <v>5.8</v>
      </c>
      <c r="G438" t="str">
        <f t="shared" si="19"/>
        <v>Low</v>
      </c>
      <c r="H438">
        <v>1.8</v>
      </c>
      <c r="I438">
        <v>3.3</v>
      </c>
      <c r="J438" s="1">
        <v>0.9</v>
      </c>
      <c r="K438" t="str">
        <f t="shared" si="20"/>
        <v>0-1 hours</v>
      </c>
      <c r="L438" t="s">
        <v>13</v>
      </c>
      <c r="M438">
        <v>7</v>
      </c>
      <c r="N438">
        <v>6</v>
      </c>
      <c r="O438">
        <v>9</v>
      </c>
      <c r="P438">
        <v>0</v>
      </c>
    </row>
    <row r="439" spans="1:16" x14ac:dyDescent="0.25">
      <c r="A439">
        <v>17</v>
      </c>
      <c r="B439" t="s">
        <v>11</v>
      </c>
      <c r="C439">
        <v>1.3</v>
      </c>
      <c r="D439" t="str">
        <f t="shared" si="18"/>
        <v>Low</v>
      </c>
      <c r="E439" t="s">
        <v>18</v>
      </c>
      <c r="F439" s="1">
        <v>8.3000000000000007</v>
      </c>
      <c r="G439" t="str">
        <f t="shared" si="19"/>
        <v>Normal</v>
      </c>
      <c r="H439">
        <v>1</v>
      </c>
      <c r="I439">
        <v>3.95</v>
      </c>
      <c r="J439" s="1">
        <v>1.2</v>
      </c>
      <c r="K439" t="str">
        <f t="shared" si="20"/>
        <v>1-2 hours</v>
      </c>
      <c r="L439" t="s">
        <v>17</v>
      </c>
      <c r="M439">
        <v>4</v>
      </c>
      <c r="N439">
        <v>1</v>
      </c>
      <c r="O439">
        <v>1</v>
      </c>
      <c r="P439">
        <v>0</v>
      </c>
    </row>
    <row r="440" spans="1:16" x14ac:dyDescent="0.25">
      <c r="A440">
        <v>14</v>
      </c>
      <c r="B440" t="s">
        <v>11</v>
      </c>
      <c r="C440">
        <v>5.6</v>
      </c>
      <c r="D440" t="str">
        <f t="shared" si="18"/>
        <v>Medium</v>
      </c>
      <c r="E440" t="s">
        <v>12</v>
      </c>
      <c r="F440" s="1">
        <v>8.8000000000000007</v>
      </c>
      <c r="G440" t="str">
        <f t="shared" si="19"/>
        <v>Normal</v>
      </c>
      <c r="H440">
        <v>0.9</v>
      </c>
      <c r="I440">
        <v>3.03</v>
      </c>
      <c r="J440" s="1">
        <v>2</v>
      </c>
      <c r="K440" t="str">
        <f t="shared" si="20"/>
        <v>1-2 hours</v>
      </c>
      <c r="L440" t="s">
        <v>13</v>
      </c>
      <c r="M440">
        <v>8</v>
      </c>
      <c r="N440">
        <v>10</v>
      </c>
      <c r="O440">
        <v>3</v>
      </c>
      <c r="P440">
        <v>0</v>
      </c>
    </row>
    <row r="441" spans="1:16" x14ac:dyDescent="0.25">
      <c r="A441">
        <v>13</v>
      </c>
      <c r="B441" t="s">
        <v>14</v>
      </c>
      <c r="C441">
        <v>2.4</v>
      </c>
      <c r="D441" t="str">
        <f t="shared" si="18"/>
        <v>Medium</v>
      </c>
      <c r="E441" t="s">
        <v>12</v>
      </c>
      <c r="F441" s="1">
        <v>5.5</v>
      </c>
      <c r="G441" t="str">
        <f t="shared" si="19"/>
        <v>Low</v>
      </c>
      <c r="H441">
        <v>0.6</v>
      </c>
      <c r="I441">
        <v>3.56</v>
      </c>
      <c r="J441" s="1">
        <v>1.6</v>
      </c>
      <c r="K441" t="str">
        <f t="shared" si="20"/>
        <v>1-2 hours</v>
      </c>
      <c r="L441" t="s">
        <v>17</v>
      </c>
      <c r="M441">
        <v>4</v>
      </c>
      <c r="N441">
        <v>8</v>
      </c>
      <c r="O441">
        <v>7</v>
      </c>
      <c r="P441">
        <v>0</v>
      </c>
    </row>
    <row r="442" spans="1:16" x14ac:dyDescent="0.25">
      <c r="A442">
        <v>16</v>
      </c>
      <c r="B442" t="s">
        <v>11</v>
      </c>
      <c r="C442">
        <v>2</v>
      </c>
      <c r="D442" t="str">
        <f t="shared" si="18"/>
        <v>Medium</v>
      </c>
      <c r="E442" t="s">
        <v>18</v>
      </c>
      <c r="F442" s="1">
        <v>7.8</v>
      </c>
      <c r="G442" t="str">
        <f t="shared" si="19"/>
        <v>Low</v>
      </c>
      <c r="H442">
        <v>2.8</v>
      </c>
      <c r="I442">
        <v>2.1</v>
      </c>
      <c r="J442" s="1">
        <v>0.6</v>
      </c>
      <c r="K442" t="str">
        <f t="shared" si="20"/>
        <v>0-1 hours</v>
      </c>
      <c r="L442" t="s">
        <v>17</v>
      </c>
      <c r="M442">
        <v>2</v>
      </c>
      <c r="N442">
        <v>6</v>
      </c>
      <c r="O442">
        <v>8</v>
      </c>
      <c r="P442">
        <v>0</v>
      </c>
    </row>
    <row r="443" spans="1:16" x14ac:dyDescent="0.25">
      <c r="A443">
        <v>15</v>
      </c>
      <c r="B443" t="s">
        <v>11</v>
      </c>
      <c r="C443">
        <v>6.6</v>
      </c>
      <c r="D443" t="str">
        <f t="shared" si="18"/>
        <v>Medium</v>
      </c>
      <c r="E443" t="s">
        <v>12</v>
      </c>
      <c r="F443" s="1">
        <v>8.6</v>
      </c>
      <c r="G443" t="str">
        <f t="shared" si="19"/>
        <v>Normal</v>
      </c>
      <c r="H443">
        <v>1.5</v>
      </c>
      <c r="I443">
        <v>2.63</v>
      </c>
      <c r="J443" s="1">
        <v>1.1000000000000001</v>
      </c>
      <c r="K443" t="str">
        <f t="shared" si="20"/>
        <v>1-2 hours</v>
      </c>
      <c r="L443" t="s">
        <v>13</v>
      </c>
      <c r="M443">
        <v>1</v>
      </c>
      <c r="N443">
        <v>9</v>
      </c>
      <c r="O443">
        <v>9</v>
      </c>
      <c r="P443">
        <v>0</v>
      </c>
    </row>
    <row r="444" spans="1:16" x14ac:dyDescent="0.25">
      <c r="A444">
        <v>17</v>
      </c>
      <c r="B444" t="s">
        <v>14</v>
      </c>
      <c r="C444">
        <v>2.2999999999999998</v>
      </c>
      <c r="D444" t="str">
        <f t="shared" si="18"/>
        <v>Medium</v>
      </c>
      <c r="E444" t="s">
        <v>15</v>
      </c>
      <c r="F444" s="1">
        <v>6.4</v>
      </c>
      <c r="G444" t="str">
        <f t="shared" si="19"/>
        <v>Low</v>
      </c>
      <c r="H444">
        <v>2.4</v>
      </c>
      <c r="I444">
        <v>3.61</v>
      </c>
      <c r="J444" s="1">
        <v>0.6</v>
      </c>
      <c r="K444" t="str">
        <f t="shared" si="20"/>
        <v>0-1 hours</v>
      </c>
      <c r="L444" t="s">
        <v>17</v>
      </c>
      <c r="M444">
        <v>2</v>
      </c>
      <c r="N444">
        <v>1</v>
      </c>
      <c r="O444">
        <v>1</v>
      </c>
      <c r="P444">
        <v>0</v>
      </c>
    </row>
    <row r="445" spans="1:16" x14ac:dyDescent="0.25">
      <c r="A445">
        <v>16</v>
      </c>
      <c r="B445" t="s">
        <v>11</v>
      </c>
      <c r="C445">
        <v>6.4</v>
      </c>
      <c r="D445" t="str">
        <f t="shared" si="18"/>
        <v>Medium</v>
      </c>
      <c r="E445" t="s">
        <v>15</v>
      </c>
      <c r="F445" s="1">
        <v>5.4</v>
      </c>
      <c r="G445" t="str">
        <f t="shared" si="19"/>
        <v>Low</v>
      </c>
      <c r="H445">
        <v>1.4</v>
      </c>
      <c r="I445">
        <v>2.42</v>
      </c>
      <c r="J445" s="1">
        <v>1.9</v>
      </c>
      <c r="K445" t="str">
        <f t="shared" si="20"/>
        <v>1-2 hours</v>
      </c>
      <c r="L445" t="s">
        <v>17</v>
      </c>
      <c r="M445">
        <v>4</v>
      </c>
      <c r="N445">
        <v>9</v>
      </c>
      <c r="O445">
        <v>5</v>
      </c>
      <c r="P445">
        <v>0</v>
      </c>
    </row>
    <row r="446" spans="1:16" x14ac:dyDescent="0.25">
      <c r="A446">
        <v>18</v>
      </c>
      <c r="B446" t="s">
        <v>14</v>
      </c>
      <c r="C446">
        <v>3.5</v>
      </c>
      <c r="D446" t="str">
        <f t="shared" si="18"/>
        <v>Medium</v>
      </c>
      <c r="E446" t="s">
        <v>18</v>
      </c>
      <c r="F446" s="1">
        <v>5.9</v>
      </c>
      <c r="G446" t="str">
        <f t="shared" si="19"/>
        <v>Low</v>
      </c>
      <c r="H446">
        <v>1.3</v>
      </c>
      <c r="I446">
        <v>3.68</v>
      </c>
      <c r="J446" s="1">
        <v>2</v>
      </c>
      <c r="K446" t="str">
        <f t="shared" si="20"/>
        <v>1-2 hours</v>
      </c>
      <c r="L446" t="s">
        <v>17</v>
      </c>
      <c r="M446">
        <v>7</v>
      </c>
      <c r="N446">
        <v>4</v>
      </c>
      <c r="O446">
        <v>10</v>
      </c>
      <c r="P446">
        <v>0</v>
      </c>
    </row>
    <row r="447" spans="1:16" x14ac:dyDescent="0.25">
      <c r="A447">
        <v>18</v>
      </c>
      <c r="B447" t="s">
        <v>14</v>
      </c>
      <c r="C447">
        <v>1.7</v>
      </c>
      <c r="D447" t="str">
        <f t="shared" si="18"/>
        <v>Low</v>
      </c>
      <c r="E447" t="s">
        <v>12</v>
      </c>
      <c r="F447" s="1">
        <v>8.5</v>
      </c>
      <c r="G447" t="str">
        <f t="shared" si="19"/>
        <v>Normal</v>
      </c>
      <c r="H447">
        <v>1</v>
      </c>
      <c r="I447">
        <v>3.32</v>
      </c>
      <c r="J447" s="1">
        <v>1.3</v>
      </c>
      <c r="K447" t="str">
        <f t="shared" si="20"/>
        <v>1-2 hours</v>
      </c>
      <c r="L447" t="s">
        <v>17</v>
      </c>
      <c r="M447">
        <v>1</v>
      </c>
      <c r="N447">
        <v>1</v>
      </c>
      <c r="O447">
        <v>7</v>
      </c>
      <c r="P447">
        <v>0</v>
      </c>
    </row>
    <row r="448" spans="1:16" x14ac:dyDescent="0.25">
      <c r="A448">
        <v>14</v>
      </c>
      <c r="B448" t="s">
        <v>11</v>
      </c>
      <c r="C448">
        <v>4.0999999999999996</v>
      </c>
      <c r="D448" t="str">
        <f t="shared" si="18"/>
        <v>Medium</v>
      </c>
      <c r="E448" t="s">
        <v>12</v>
      </c>
      <c r="F448" s="1">
        <v>8.1999999999999993</v>
      </c>
      <c r="G448" t="str">
        <f t="shared" si="19"/>
        <v>Normal</v>
      </c>
      <c r="H448">
        <v>1.7</v>
      </c>
      <c r="I448">
        <v>2.3199999999999998</v>
      </c>
      <c r="J448" s="1">
        <v>1.4</v>
      </c>
      <c r="K448" t="str">
        <f t="shared" si="20"/>
        <v>1-2 hours</v>
      </c>
      <c r="L448" t="s">
        <v>16</v>
      </c>
      <c r="M448">
        <v>9</v>
      </c>
      <c r="N448">
        <v>2</v>
      </c>
      <c r="O448">
        <v>4</v>
      </c>
      <c r="P448">
        <v>0</v>
      </c>
    </row>
    <row r="449" spans="1:16" x14ac:dyDescent="0.25">
      <c r="A449">
        <v>14</v>
      </c>
      <c r="B449" t="s">
        <v>11</v>
      </c>
      <c r="C449">
        <v>3.3</v>
      </c>
      <c r="D449" t="str">
        <f t="shared" si="18"/>
        <v>Medium</v>
      </c>
      <c r="E449" t="s">
        <v>12</v>
      </c>
      <c r="F449" s="1">
        <v>6.5</v>
      </c>
      <c r="G449" t="str">
        <f t="shared" si="19"/>
        <v>Low</v>
      </c>
      <c r="H449">
        <v>0.8</v>
      </c>
      <c r="I449">
        <v>2.54</v>
      </c>
      <c r="J449" s="1">
        <v>0.8</v>
      </c>
      <c r="K449" t="str">
        <f t="shared" si="20"/>
        <v>0-1 hours</v>
      </c>
      <c r="L449" t="s">
        <v>13</v>
      </c>
      <c r="M449">
        <v>1</v>
      </c>
      <c r="N449">
        <v>2</v>
      </c>
      <c r="O449">
        <v>3</v>
      </c>
      <c r="P449">
        <v>0</v>
      </c>
    </row>
    <row r="450" spans="1:16" x14ac:dyDescent="0.25">
      <c r="A450">
        <v>14</v>
      </c>
      <c r="B450" t="s">
        <v>14</v>
      </c>
      <c r="C450">
        <v>5</v>
      </c>
      <c r="D450" t="str">
        <f t="shared" ref="D450:D513" si="21">IF(C450&lt;2,"Low",IF(C450&lt;7,"Medium","High"))</f>
        <v>Medium</v>
      </c>
      <c r="E450" t="s">
        <v>15</v>
      </c>
      <c r="F450" s="1">
        <v>4.9000000000000004</v>
      </c>
      <c r="G450" t="str">
        <f t="shared" ref="G450:G513" si="22">IF(F450&gt;=8,"Normal","Low")</f>
        <v>Low</v>
      </c>
      <c r="H450">
        <v>2.6</v>
      </c>
      <c r="I450">
        <v>3.82</v>
      </c>
      <c r="J450" s="1">
        <v>1.9</v>
      </c>
      <c r="K450" t="str">
        <f t="shared" ref="K450:K513" si="23">IF(J450=0,"No activity",IF(J450&lt;=1,"0-1 hours","1-2 hours"))</f>
        <v>1-2 hours</v>
      </c>
      <c r="L450" t="s">
        <v>17</v>
      </c>
      <c r="M450">
        <v>3</v>
      </c>
      <c r="N450">
        <v>10</v>
      </c>
      <c r="O450">
        <v>10</v>
      </c>
      <c r="P450">
        <v>0</v>
      </c>
    </row>
    <row r="451" spans="1:16" x14ac:dyDescent="0.25">
      <c r="A451">
        <v>19</v>
      </c>
      <c r="B451" t="s">
        <v>14</v>
      </c>
      <c r="C451">
        <v>1.5</v>
      </c>
      <c r="D451" t="str">
        <f t="shared" si="21"/>
        <v>Low</v>
      </c>
      <c r="E451" t="s">
        <v>12</v>
      </c>
      <c r="F451" s="1">
        <v>8.4</v>
      </c>
      <c r="G451" t="str">
        <f t="shared" si="22"/>
        <v>Normal</v>
      </c>
      <c r="H451">
        <v>3</v>
      </c>
      <c r="I451">
        <v>2.46</v>
      </c>
      <c r="J451" s="1">
        <v>1.5</v>
      </c>
      <c r="K451" t="str">
        <f t="shared" si="23"/>
        <v>1-2 hours</v>
      </c>
      <c r="L451" t="s">
        <v>16</v>
      </c>
      <c r="M451">
        <v>1</v>
      </c>
      <c r="N451">
        <v>7</v>
      </c>
      <c r="O451">
        <v>6</v>
      </c>
      <c r="P451">
        <v>0</v>
      </c>
    </row>
    <row r="452" spans="1:16" x14ac:dyDescent="0.25">
      <c r="A452">
        <v>17</v>
      </c>
      <c r="B452" t="s">
        <v>14</v>
      </c>
      <c r="C452">
        <v>3.3</v>
      </c>
      <c r="D452" t="str">
        <f t="shared" si="21"/>
        <v>Medium</v>
      </c>
      <c r="E452" t="s">
        <v>15</v>
      </c>
      <c r="F452" s="1">
        <v>8.4</v>
      </c>
      <c r="G452" t="str">
        <f t="shared" si="22"/>
        <v>Normal</v>
      </c>
      <c r="H452">
        <v>2.1</v>
      </c>
      <c r="I452">
        <v>3.4</v>
      </c>
      <c r="J452" s="1">
        <v>0.2</v>
      </c>
      <c r="K452" t="str">
        <f t="shared" si="23"/>
        <v>0-1 hours</v>
      </c>
      <c r="L452" t="s">
        <v>16</v>
      </c>
      <c r="M452">
        <v>1</v>
      </c>
      <c r="N452">
        <v>3</v>
      </c>
      <c r="O452">
        <v>10</v>
      </c>
      <c r="P452">
        <v>0</v>
      </c>
    </row>
    <row r="453" spans="1:16" x14ac:dyDescent="0.25">
      <c r="A453">
        <v>13</v>
      </c>
      <c r="B453" t="s">
        <v>11</v>
      </c>
      <c r="C453">
        <v>6.4</v>
      </c>
      <c r="D453" t="str">
        <f t="shared" si="21"/>
        <v>Medium</v>
      </c>
      <c r="E453" t="s">
        <v>18</v>
      </c>
      <c r="F453" s="1">
        <v>4.0999999999999996</v>
      </c>
      <c r="G453" t="str">
        <f t="shared" si="22"/>
        <v>Low</v>
      </c>
      <c r="H453">
        <v>1.3</v>
      </c>
      <c r="I453">
        <v>2.77</v>
      </c>
      <c r="J453" s="1">
        <v>1.3</v>
      </c>
      <c r="K453" t="str">
        <f t="shared" si="23"/>
        <v>1-2 hours</v>
      </c>
      <c r="L453" t="s">
        <v>13</v>
      </c>
      <c r="M453">
        <v>10</v>
      </c>
      <c r="N453">
        <v>6</v>
      </c>
      <c r="O453">
        <v>1</v>
      </c>
      <c r="P453">
        <v>0</v>
      </c>
    </row>
    <row r="454" spans="1:16" x14ac:dyDescent="0.25">
      <c r="A454">
        <v>17</v>
      </c>
      <c r="B454" t="s">
        <v>14</v>
      </c>
      <c r="C454">
        <v>8</v>
      </c>
      <c r="D454" t="str">
        <f t="shared" si="21"/>
        <v>High</v>
      </c>
      <c r="E454" t="s">
        <v>12</v>
      </c>
      <c r="F454" s="1">
        <v>8.1</v>
      </c>
      <c r="G454" t="str">
        <f t="shared" si="22"/>
        <v>Normal</v>
      </c>
      <c r="H454">
        <v>1.2</v>
      </c>
      <c r="I454">
        <v>2.13</v>
      </c>
      <c r="J454" s="1">
        <v>1</v>
      </c>
      <c r="K454" t="str">
        <f t="shared" si="23"/>
        <v>0-1 hours</v>
      </c>
      <c r="L454" t="s">
        <v>13</v>
      </c>
      <c r="M454">
        <v>1</v>
      </c>
      <c r="N454">
        <v>8</v>
      </c>
      <c r="O454">
        <v>7</v>
      </c>
      <c r="P454">
        <v>0</v>
      </c>
    </row>
    <row r="455" spans="1:16" x14ac:dyDescent="0.25">
      <c r="A455">
        <v>16</v>
      </c>
      <c r="B455" t="s">
        <v>14</v>
      </c>
      <c r="C455">
        <v>1</v>
      </c>
      <c r="D455" t="str">
        <f t="shared" si="21"/>
        <v>Low</v>
      </c>
      <c r="E455" t="s">
        <v>18</v>
      </c>
      <c r="F455" s="1">
        <v>4.0999999999999996</v>
      </c>
      <c r="G455" t="str">
        <f t="shared" si="22"/>
        <v>Low</v>
      </c>
      <c r="H455">
        <v>1.3</v>
      </c>
      <c r="I455">
        <v>2.2200000000000002</v>
      </c>
      <c r="J455" s="1">
        <v>0.4</v>
      </c>
      <c r="K455" t="str">
        <f t="shared" si="23"/>
        <v>0-1 hours</v>
      </c>
      <c r="L455" t="s">
        <v>13</v>
      </c>
      <c r="M455">
        <v>2</v>
      </c>
      <c r="N455">
        <v>1</v>
      </c>
      <c r="O455">
        <v>8</v>
      </c>
      <c r="P455">
        <v>0</v>
      </c>
    </row>
    <row r="456" spans="1:16" x14ac:dyDescent="0.25">
      <c r="A456">
        <v>18</v>
      </c>
      <c r="B456" t="s">
        <v>14</v>
      </c>
      <c r="C456">
        <v>4.2</v>
      </c>
      <c r="D456" t="str">
        <f t="shared" si="21"/>
        <v>Medium</v>
      </c>
      <c r="E456" t="s">
        <v>12</v>
      </c>
      <c r="F456" s="1">
        <v>5.4</v>
      </c>
      <c r="G456" t="str">
        <f t="shared" si="22"/>
        <v>Low</v>
      </c>
      <c r="H456">
        <v>1.1000000000000001</v>
      </c>
      <c r="I456">
        <v>2.31</v>
      </c>
      <c r="J456" s="1">
        <v>0.3</v>
      </c>
      <c r="K456" t="str">
        <f t="shared" si="23"/>
        <v>0-1 hours</v>
      </c>
      <c r="L456" t="s">
        <v>13</v>
      </c>
      <c r="M456">
        <v>4</v>
      </c>
      <c r="N456">
        <v>9</v>
      </c>
      <c r="O456">
        <v>1</v>
      </c>
      <c r="P456">
        <v>0</v>
      </c>
    </row>
    <row r="457" spans="1:16" x14ac:dyDescent="0.25">
      <c r="A457">
        <v>18</v>
      </c>
      <c r="B457" t="s">
        <v>14</v>
      </c>
      <c r="C457">
        <v>4.5999999999999996</v>
      </c>
      <c r="D457" t="str">
        <f t="shared" si="21"/>
        <v>Medium</v>
      </c>
      <c r="E457" t="s">
        <v>15</v>
      </c>
      <c r="F457" s="1">
        <v>7.3</v>
      </c>
      <c r="G457" t="str">
        <f t="shared" si="22"/>
        <v>Low</v>
      </c>
      <c r="H457">
        <v>2.8</v>
      </c>
      <c r="I457">
        <v>3.22</v>
      </c>
      <c r="J457" s="1">
        <v>0.6</v>
      </c>
      <c r="K457" t="str">
        <f t="shared" si="23"/>
        <v>0-1 hours</v>
      </c>
      <c r="L457" t="s">
        <v>16</v>
      </c>
      <c r="M457">
        <v>1</v>
      </c>
      <c r="N457">
        <v>3</v>
      </c>
      <c r="O457">
        <v>6</v>
      </c>
      <c r="P457">
        <v>0</v>
      </c>
    </row>
    <row r="458" spans="1:16" x14ac:dyDescent="0.25">
      <c r="A458">
        <v>17</v>
      </c>
      <c r="B458" t="s">
        <v>14</v>
      </c>
      <c r="C458">
        <v>2.8</v>
      </c>
      <c r="D458" t="str">
        <f t="shared" si="21"/>
        <v>Medium</v>
      </c>
      <c r="E458" t="s">
        <v>18</v>
      </c>
      <c r="F458" s="1">
        <v>6.2</v>
      </c>
      <c r="G458" t="str">
        <f t="shared" si="22"/>
        <v>Low</v>
      </c>
      <c r="H458">
        <v>2.4</v>
      </c>
      <c r="I458">
        <v>2.58</v>
      </c>
      <c r="J458" s="1">
        <v>0.4</v>
      </c>
      <c r="K458" t="str">
        <f t="shared" si="23"/>
        <v>0-1 hours</v>
      </c>
      <c r="L458" t="s">
        <v>16</v>
      </c>
      <c r="M458">
        <v>4</v>
      </c>
      <c r="N458">
        <v>10</v>
      </c>
      <c r="O458">
        <v>9</v>
      </c>
      <c r="P458">
        <v>0</v>
      </c>
    </row>
    <row r="459" spans="1:16" x14ac:dyDescent="0.25">
      <c r="A459">
        <v>16</v>
      </c>
      <c r="B459" t="s">
        <v>14</v>
      </c>
      <c r="C459">
        <v>6.3</v>
      </c>
      <c r="D459" t="str">
        <f t="shared" si="21"/>
        <v>Medium</v>
      </c>
      <c r="E459" t="s">
        <v>12</v>
      </c>
      <c r="F459" s="1">
        <v>6.9</v>
      </c>
      <c r="G459" t="str">
        <f t="shared" si="22"/>
        <v>Low</v>
      </c>
      <c r="H459">
        <v>1.3</v>
      </c>
      <c r="I459">
        <v>2.15</v>
      </c>
      <c r="J459" s="1">
        <v>1.4</v>
      </c>
      <c r="K459" t="str">
        <f t="shared" si="23"/>
        <v>1-2 hours</v>
      </c>
      <c r="L459" t="s">
        <v>13</v>
      </c>
      <c r="M459">
        <v>9</v>
      </c>
      <c r="N459">
        <v>2</v>
      </c>
      <c r="O459">
        <v>10</v>
      </c>
      <c r="P459">
        <v>0</v>
      </c>
    </row>
    <row r="460" spans="1:16" x14ac:dyDescent="0.25">
      <c r="A460">
        <v>17</v>
      </c>
      <c r="B460" t="s">
        <v>14</v>
      </c>
      <c r="C460">
        <v>7.2</v>
      </c>
      <c r="D460" t="str">
        <f t="shared" si="21"/>
        <v>High</v>
      </c>
      <c r="E460" t="s">
        <v>15</v>
      </c>
      <c r="F460" s="1">
        <v>7</v>
      </c>
      <c r="G460" t="str">
        <f t="shared" si="22"/>
        <v>Low</v>
      </c>
      <c r="H460">
        <v>1.3</v>
      </c>
      <c r="I460">
        <v>3.86</v>
      </c>
      <c r="J460" s="1">
        <v>0.9</v>
      </c>
      <c r="K460" t="str">
        <f t="shared" si="23"/>
        <v>0-1 hours</v>
      </c>
      <c r="L460" t="s">
        <v>13</v>
      </c>
      <c r="M460">
        <v>7</v>
      </c>
      <c r="N460">
        <v>8</v>
      </c>
      <c r="O460">
        <v>4</v>
      </c>
      <c r="P460">
        <v>0</v>
      </c>
    </row>
    <row r="461" spans="1:16" x14ac:dyDescent="0.25">
      <c r="A461">
        <v>13</v>
      </c>
      <c r="B461" t="s">
        <v>11</v>
      </c>
      <c r="C461">
        <v>4.5</v>
      </c>
      <c r="D461" t="str">
        <f t="shared" si="21"/>
        <v>Medium</v>
      </c>
      <c r="E461" t="s">
        <v>18</v>
      </c>
      <c r="F461" s="1">
        <v>6.7</v>
      </c>
      <c r="G461" t="str">
        <f t="shared" si="22"/>
        <v>Low</v>
      </c>
      <c r="H461">
        <v>2.2000000000000002</v>
      </c>
      <c r="I461">
        <v>3.73</v>
      </c>
      <c r="J461" s="1">
        <v>0.3</v>
      </c>
      <c r="K461" t="str">
        <f t="shared" si="23"/>
        <v>0-1 hours</v>
      </c>
      <c r="L461" t="s">
        <v>13</v>
      </c>
      <c r="M461">
        <v>3</v>
      </c>
      <c r="N461">
        <v>5</v>
      </c>
      <c r="O461">
        <v>10</v>
      </c>
      <c r="P461">
        <v>0</v>
      </c>
    </row>
    <row r="462" spans="1:16" x14ac:dyDescent="0.25">
      <c r="A462">
        <v>18</v>
      </c>
      <c r="B462" t="s">
        <v>11</v>
      </c>
      <c r="C462">
        <v>5.3</v>
      </c>
      <c r="D462" t="str">
        <f t="shared" si="21"/>
        <v>Medium</v>
      </c>
      <c r="E462" t="s">
        <v>18</v>
      </c>
      <c r="F462" s="1">
        <v>5.0999999999999996</v>
      </c>
      <c r="G462" t="str">
        <f t="shared" si="22"/>
        <v>Low</v>
      </c>
      <c r="H462">
        <v>1.2</v>
      </c>
      <c r="I462">
        <v>3.32</v>
      </c>
      <c r="J462" s="1">
        <v>1.8</v>
      </c>
      <c r="K462" t="str">
        <f t="shared" si="23"/>
        <v>1-2 hours</v>
      </c>
      <c r="L462" t="s">
        <v>13</v>
      </c>
      <c r="M462">
        <v>7</v>
      </c>
      <c r="N462">
        <v>3</v>
      </c>
      <c r="O462">
        <v>8</v>
      </c>
      <c r="P462">
        <v>0</v>
      </c>
    </row>
    <row r="463" spans="1:16" x14ac:dyDescent="0.25">
      <c r="A463">
        <v>13</v>
      </c>
      <c r="B463" t="s">
        <v>11</v>
      </c>
      <c r="C463">
        <v>5.2</v>
      </c>
      <c r="D463" t="str">
        <f t="shared" si="21"/>
        <v>Medium</v>
      </c>
      <c r="E463" t="s">
        <v>15</v>
      </c>
      <c r="F463" s="1">
        <v>6.7</v>
      </c>
      <c r="G463" t="str">
        <f t="shared" si="22"/>
        <v>Low</v>
      </c>
      <c r="H463">
        <v>2.5</v>
      </c>
      <c r="I463">
        <v>3.82</v>
      </c>
      <c r="J463" s="1">
        <v>0.9</v>
      </c>
      <c r="K463" t="str">
        <f t="shared" si="23"/>
        <v>0-1 hours</v>
      </c>
      <c r="L463" t="s">
        <v>17</v>
      </c>
      <c r="M463">
        <v>8</v>
      </c>
      <c r="N463">
        <v>8</v>
      </c>
      <c r="O463">
        <v>6</v>
      </c>
      <c r="P463">
        <v>0</v>
      </c>
    </row>
    <row r="464" spans="1:16" x14ac:dyDescent="0.25">
      <c r="A464">
        <v>13</v>
      </c>
      <c r="B464" t="s">
        <v>11</v>
      </c>
      <c r="C464">
        <v>7.9</v>
      </c>
      <c r="D464" t="str">
        <f t="shared" si="21"/>
        <v>High</v>
      </c>
      <c r="E464" t="s">
        <v>15</v>
      </c>
      <c r="F464" s="1">
        <v>6</v>
      </c>
      <c r="G464" t="str">
        <f t="shared" si="22"/>
        <v>Low</v>
      </c>
      <c r="H464">
        <v>2.7</v>
      </c>
      <c r="I464">
        <v>2.85</v>
      </c>
      <c r="J464" s="1">
        <v>0.3</v>
      </c>
      <c r="K464" t="str">
        <f t="shared" si="23"/>
        <v>0-1 hours</v>
      </c>
      <c r="L464" t="s">
        <v>13</v>
      </c>
      <c r="M464">
        <v>9</v>
      </c>
      <c r="N464">
        <v>10</v>
      </c>
      <c r="O464">
        <v>3</v>
      </c>
      <c r="P464">
        <v>0</v>
      </c>
    </row>
    <row r="465" spans="1:16" x14ac:dyDescent="0.25">
      <c r="A465">
        <v>19</v>
      </c>
      <c r="B465" t="s">
        <v>11</v>
      </c>
      <c r="C465">
        <v>6.9</v>
      </c>
      <c r="D465" t="str">
        <f t="shared" si="21"/>
        <v>Medium</v>
      </c>
      <c r="E465" t="s">
        <v>15</v>
      </c>
      <c r="F465" s="1">
        <v>8.5</v>
      </c>
      <c r="G465" t="str">
        <f t="shared" si="22"/>
        <v>Normal</v>
      </c>
      <c r="H465">
        <v>1.5</v>
      </c>
      <c r="I465">
        <v>3.55</v>
      </c>
      <c r="J465" s="1">
        <v>1.3</v>
      </c>
      <c r="K465" t="str">
        <f t="shared" si="23"/>
        <v>1-2 hours</v>
      </c>
      <c r="L465" t="s">
        <v>13</v>
      </c>
      <c r="M465">
        <v>5</v>
      </c>
      <c r="N465">
        <v>6</v>
      </c>
      <c r="O465">
        <v>1</v>
      </c>
      <c r="P465">
        <v>0</v>
      </c>
    </row>
    <row r="466" spans="1:16" x14ac:dyDescent="0.25">
      <c r="A466">
        <v>17</v>
      </c>
      <c r="B466" t="s">
        <v>14</v>
      </c>
      <c r="C466">
        <v>5.8</v>
      </c>
      <c r="D466" t="str">
        <f t="shared" si="21"/>
        <v>Medium</v>
      </c>
      <c r="E466" t="s">
        <v>12</v>
      </c>
      <c r="F466" s="1">
        <v>4.0999999999999996</v>
      </c>
      <c r="G466" t="str">
        <f t="shared" si="22"/>
        <v>Low</v>
      </c>
      <c r="H466">
        <v>2.9</v>
      </c>
      <c r="I466">
        <v>2.33</v>
      </c>
      <c r="J466" s="1">
        <v>0.4</v>
      </c>
      <c r="K466" t="str">
        <f t="shared" si="23"/>
        <v>0-1 hours</v>
      </c>
      <c r="L466" t="s">
        <v>16</v>
      </c>
      <c r="M466">
        <v>9</v>
      </c>
      <c r="N466">
        <v>6</v>
      </c>
      <c r="O466">
        <v>8</v>
      </c>
      <c r="P466">
        <v>0</v>
      </c>
    </row>
    <row r="467" spans="1:16" x14ac:dyDescent="0.25">
      <c r="A467">
        <v>19</v>
      </c>
      <c r="B467" t="s">
        <v>11</v>
      </c>
      <c r="C467">
        <v>7</v>
      </c>
      <c r="D467" t="str">
        <f t="shared" si="21"/>
        <v>High</v>
      </c>
      <c r="E467" t="s">
        <v>12</v>
      </c>
      <c r="F467" s="1">
        <v>8.3000000000000007</v>
      </c>
      <c r="G467" t="str">
        <f t="shared" si="22"/>
        <v>Normal</v>
      </c>
      <c r="H467">
        <v>2.1</v>
      </c>
      <c r="I467">
        <v>3.09</v>
      </c>
      <c r="J467" s="1">
        <v>1.5</v>
      </c>
      <c r="K467" t="str">
        <f t="shared" si="23"/>
        <v>1-2 hours</v>
      </c>
      <c r="L467" t="s">
        <v>13</v>
      </c>
      <c r="M467">
        <v>9</v>
      </c>
      <c r="N467">
        <v>7</v>
      </c>
      <c r="O467">
        <v>3</v>
      </c>
      <c r="P467">
        <v>0</v>
      </c>
    </row>
    <row r="468" spans="1:16" x14ac:dyDescent="0.25">
      <c r="A468">
        <v>14</v>
      </c>
      <c r="B468" t="s">
        <v>14</v>
      </c>
      <c r="C468">
        <v>3</v>
      </c>
      <c r="D468" t="str">
        <f t="shared" si="21"/>
        <v>Medium</v>
      </c>
      <c r="E468" t="s">
        <v>15</v>
      </c>
      <c r="F468" s="1">
        <v>8.3000000000000007</v>
      </c>
      <c r="G468" t="str">
        <f t="shared" si="22"/>
        <v>Normal</v>
      </c>
      <c r="H468">
        <v>2.7</v>
      </c>
      <c r="I468">
        <v>3.9</v>
      </c>
      <c r="J468" s="1">
        <v>0.7</v>
      </c>
      <c r="K468" t="str">
        <f t="shared" si="23"/>
        <v>0-1 hours</v>
      </c>
      <c r="L468" t="s">
        <v>16</v>
      </c>
      <c r="M468">
        <v>3</v>
      </c>
      <c r="N468">
        <v>1</v>
      </c>
      <c r="O468">
        <v>5</v>
      </c>
      <c r="P468">
        <v>0</v>
      </c>
    </row>
    <row r="469" spans="1:16" x14ac:dyDescent="0.25">
      <c r="A469">
        <v>18</v>
      </c>
      <c r="B469" t="s">
        <v>11</v>
      </c>
      <c r="C469">
        <v>6.3</v>
      </c>
      <c r="D469" t="str">
        <f t="shared" si="21"/>
        <v>Medium</v>
      </c>
      <c r="E469" t="s">
        <v>18</v>
      </c>
      <c r="F469" s="1">
        <v>7.9</v>
      </c>
      <c r="G469" t="str">
        <f t="shared" si="22"/>
        <v>Low</v>
      </c>
      <c r="H469">
        <v>1.7</v>
      </c>
      <c r="I469">
        <v>2.85</v>
      </c>
      <c r="J469" s="1">
        <v>0.3</v>
      </c>
      <c r="K469" t="str">
        <f t="shared" si="23"/>
        <v>0-1 hours</v>
      </c>
      <c r="L469" t="s">
        <v>17</v>
      </c>
      <c r="M469">
        <v>1</v>
      </c>
      <c r="N469">
        <v>1</v>
      </c>
      <c r="O469">
        <v>2</v>
      </c>
      <c r="P469">
        <v>0</v>
      </c>
    </row>
    <row r="470" spans="1:16" x14ac:dyDescent="0.25">
      <c r="A470">
        <v>17</v>
      </c>
      <c r="B470" t="s">
        <v>14</v>
      </c>
      <c r="C470">
        <v>5.5</v>
      </c>
      <c r="D470" t="str">
        <f t="shared" si="21"/>
        <v>Medium</v>
      </c>
      <c r="E470" t="s">
        <v>12</v>
      </c>
      <c r="F470" s="1">
        <v>4.9000000000000004</v>
      </c>
      <c r="G470" t="str">
        <f t="shared" si="22"/>
        <v>Low</v>
      </c>
      <c r="H470">
        <v>2.6</v>
      </c>
      <c r="I470">
        <v>3.64</v>
      </c>
      <c r="J470" s="1">
        <v>0.8</v>
      </c>
      <c r="K470" t="str">
        <f t="shared" si="23"/>
        <v>0-1 hours</v>
      </c>
      <c r="L470" t="s">
        <v>17</v>
      </c>
      <c r="M470">
        <v>6</v>
      </c>
      <c r="N470">
        <v>8</v>
      </c>
      <c r="O470">
        <v>3</v>
      </c>
      <c r="P470">
        <v>0</v>
      </c>
    </row>
    <row r="471" spans="1:16" x14ac:dyDescent="0.25">
      <c r="A471">
        <v>17</v>
      </c>
      <c r="B471" t="s">
        <v>14</v>
      </c>
      <c r="C471">
        <v>2.2000000000000002</v>
      </c>
      <c r="D471" t="str">
        <f t="shared" si="21"/>
        <v>Medium</v>
      </c>
      <c r="E471" t="s">
        <v>18</v>
      </c>
      <c r="F471" s="1">
        <v>7.5</v>
      </c>
      <c r="G471" t="str">
        <f t="shared" si="22"/>
        <v>Low</v>
      </c>
      <c r="H471">
        <v>2.2000000000000002</v>
      </c>
      <c r="I471">
        <v>2.95</v>
      </c>
      <c r="J471" s="1">
        <v>1.6</v>
      </c>
      <c r="K471" t="str">
        <f t="shared" si="23"/>
        <v>1-2 hours</v>
      </c>
      <c r="L471" t="s">
        <v>13</v>
      </c>
      <c r="M471">
        <v>9</v>
      </c>
      <c r="N471">
        <v>7</v>
      </c>
      <c r="O471">
        <v>4</v>
      </c>
      <c r="P471">
        <v>0</v>
      </c>
    </row>
    <row r="472" spans="1:16" x14ac:dyDescent="0.25">
      <c r="A472">
        <v>14</v>
      </c>
      <c r="B472" t="s">
        <v>11</v>
      </c>
      <c r="C472">
        <v>1.4</v>
      </c>
      <c r="D472" t="str">
        <f t="shared" si="21"/>
        <v>Low</v>
      </c>
      <c r="E472" t="s">
        <v>18</v>
      </c>
      <c r="F472" s="1">
        <v>4.5</v>
      </c>
      <c r="G472" t="str">
        <f t="shared" si="22"/>
        <v>Low</v>
      </c>
      <c r="H472">
        <v>1.4</v>
      </c>
      <c r="I472">
        <v>3.17</v>
      </c>
      <c r="J472" s="1">
        <v>1.7</v>
      </c>
      <c r="K472" t="str">
        <f t="shared" si="23"/>
        <v>1-2 hours</v>
      </c>
      <c r="L472" t="s">
        <v>16</v>
      </c>
      <c r="M472">
        <v>9</v>
      </c>
      <c r="N472">
        <v>10</v>
      </c>
      <c r="O472">
        <v>9</v>
      </c>
      <c r="P472">
        <v>0</v>
      </c>
    </row>
    <row r="473" spans="1:16" x14ac:dyDescent="0.25">
      <c r="A473">
        <v>18</v>
      </c>
      <c r="B473" t="s">
        <v>11</v>
      </c>
      <c r="C473">
        <v>4.5</v>
      </c>
      <c r="D473" t="str">
        <f t="shared" si="21"/>
        <v>Medium</v>
      </c>
      <c r="E473" t="s">
        <v>12</v>
      </c>
      <c r="F473" s="1">
        <v>4.4000000000000004</v>
      </c>
      <c r="G473" t="str">
        <f t="shared" si="22"/>
        <v>Low</v>
      </c>
      <c r="H473">
        <v>1.9</v>
      </c>
      <c r="I473">
        <v>2.2599999999999998</v>
      </c>
      <c r="J473" s="1">
        <v>0</v>
      </c>
      <c r="K473" t="str">
        <f t="shared" si="23"/>
        <v>No activity</v>
      </c>
      <c r="L473" t="s">
        <v>13</v>
      </c>
      <c r="M473">
        <v>7</v>
      </c>
      <c r="N473">
        <v>8</v>
      </c>
      <c r="O473">
        <v>10</v>
      </c>
      <c r="P473">
        <v>0</v>
      </c>
    </row>
    <row r="474" spans="1:16" x14ac:dyDescent="0.25">
      <c r="A474">
        <v>14</v>
      </c>
      <c r="B474" t="s">
        <v>14</v>
      </c>
      <c r="C474">
        <v>6.1</v>
      </c>
      <c r="D474" t="str">
        <f t="shared" si="21"/>
        <v>Medium</v>
      </c>
      <c r="E474" t="s">
        <v>12</v>
      </c>
      <c r="F474" s="1">
        <v>5.7</v>
      </c>
      <c r="G474" t="str">
        <f t="shared" si="22"/>
        <v>Low</v>
      </c>
      <c r="H474">
        <v>2</v>
      </c>
      <c r="I474">
        <v>3.9</v>
      </c>
      <c r="J474" s="1">
        <v>1</v>
      </c>
      <c r="K474" t="str">
        <f t="shared" si="23"/>
        <v>0-1 hours</v>
      </c>
      <c r="L474" t="s">
        <v>13</v>
      </c>
      <c r="M474">
        <v>8</v>
      </c>
      <c r="N474">
        <v>4</v>
      </c>
      <c r="O474">
        <v>6</v>
      </c>
      <c r="P474">
        <v>0</v>
      </c>
    </row>
    <row r="475" spans="1:16" x14ac:dyDescent="0.25">
      <c r="A475">
        <v>17</v>
      </c>
      <c r="B475" t="s">
        <v>11</v>
      </c>
      <c r="C475">
        <v>3.3</v>
      </c>
      <c r="D475" t="str">
        <f t="shared" si="21"/>
        <v>Medium</v>
      </c>
      <c r="E475" t="s">
        <v>15</v>
      </c>
      <c r="F475" s="1">
        <v>5.7</v>
      </c>
      <c r="G475" t="str">
        <f t="shared" si="22"/>
        <v>Low</v>
      </c>
      <c r="H475">
        <v>2</v>
      </c>
      <c r="I475">
        <v>3.71</v>
      </c>
      <c r="J475" s="1">
        <v>0.1</v>
      </c>
      <c r="K475" t="str">
        <f t="shared" si="23"/>
        <v>0-1 hours</v>
      </c>
      <c r="L475" t="s">
        <v>13</v>
      </c>
      <c r="M475">
        <v>6</v>
      </c>
      <c r="N475">
        <v>6</v>
      </c>
      <c r="O475">
        <v>8</v>
      </c>
      <c r="P475">
        <v>0</v>
      </c>
    </row>
    <row r="476" spans="1:16" x14ac:dyDescent="0.25">
      <c r="A476">
        <v>15</v>
      </c>
      <c r="B476" t="s">
        <v>11</v>
      </c>
      <c r="C476">
        <v>5.2</v>
      </c>
      <c r="D476" t="str">
        <f t="shared" si="21"/>
        <v>Medium</v>
      </c>
      <c r="E476" t="s">
        <v>18</v>
      </c>
      <c r="F476" s="1">
        <v>5.6</v>
      </c>
      <c r="G476" t="str">
        <f t="shared" si="22"/>
        <v>Low</v>
      </c>
      <c r="H476">
        <v>1.1000000000000001</v>
      </c>
      <c r="I476">
        <v>2.88</v>
      </c>
      <c r="J476" s="1">
        <v>0.1</v>
      </c>
      <c r="K476" t="str">
        <f t="shared" si="23"/>
        <v>0-1 hours</v>
      </c>
      <c r="L476" t="s">
        <v>17</v>
      </c>
      <c r="M476">
        <v>4</v>
      </c>
      <c r="N476">
        <v>8</v>
      </c>
      <c r="O476">
        <v>7</v>
      </c>
      <c r="P476">
        <v>0</v>
      </c>
    </row>
    <row r="477" spans="1:16" x14ac:dyDescent="0.25">
      <c r="A477">
        <v>18</v>
      </c>
      <c r="B477" t="s">
        <v>11</v>
      </c>
      <c r="C477">
        <v>5</v>
      </c>
      <c r="D477" t="str">
        <f t="shared" si="21"/>
        <v>Medium</v>
      </c>
      <c r="E477" t="s">
        <v>18</v>
      </c>
      <c r="F477" s="1">
        <v>5.8</v>
      </c>
      <c r="G477" t="str">
        <f t="shared" si="22"/>
        <v>Low</v>
      </c>
      <c r="H477">
        <v>1.3</v>
      </c>
      <c r="I477">
        <v>2.12</v>
      </c>
      <c r="J477" s="1">
        <v>0.1</v>
      </c>
      <c r="K477" t="str">
        <f t="shared" si="23"/>
        <v>0-1 hours</v>
      </c>
      <c r="L477" t="s">
        <v>13</v>
      </c>
      <c r="M477">
        <v>1</v>
      </c>
      <c r="N477">
        <v>9</v>
      </c>
      <c r="O477">
        <v>2</v>
      </c>
      <c r="P477">
        <v>0</v>
      </c>
    </row>
    <row r="478" spans="1:16" x14ac:dyDescent="0.25">
      <c r="A478">
        <v>17</v>
      </c>
      <c r="B478" t="s">
        <v>14</v>
      </c>
      <c r="C478">
        <v>1.8</v>
      </c>
      <c r="D478" t="str">
        <f t="shared" si="21"/>
        <v>Low</v>
      </c>
      <c r="E478" t="s">
        <v>15</v>
      </c>
      <c r="F478" s="1">
        <v>5.9</v>
      </c>
      <c r="G478" t="str">
        <f t="shared" si="22"/>
        <v>Low</v>
      </c>
      <c r="H478">
        <v>1.9</v>
      </c>
      <c r="I478">
        <v>2.89</v>
      </c>
      <c r="J478" s="1">
        <v>0.6</v>
      </c>
      <c r="K478" t="str">
        <f t="shared" si="23"/>
        <v>0-1 hours</v>
      </c>
      <c r="L478" t="s">
        <v>13</v>
      </c>
      <c r="M478">
        <v>8</v>
      </c>
      <c r="N478">
        <v>8</v>
      </c>
      <c r="O478">
        <v>5</v>
      </c>
      <c r="P478">
        <v>0</v>
      </c>
    </row>
    <row r="479" spans="1:16" x14ac:dyDescent="0.25">
      <c r="A479">
        <v>13</v>
      </c>
      <c r="B479" t="s">
        <v>11</v>
      </c>
      <c r="C479">
        <v>2.2999999999999998</v>
      </c>
      <c r="D479" t="str">
        <f t="shared" si="21"/>
        <v>Medium</v>
      </c>
      <c r="E479" t="s">
        <v>15</v>
      </c>
      <c r="F479" s="1">
        <v>4.5</v>
      </c>
      <c r="G479" t="str">
        <f t="shared" si="22"/>
        <v>Low</v>
      </c>
      <c r="H479">
        <v>0.7</v>
      </c>
      <c r="I479">
        <v>2.71</v>
      </c>
      <c r="J479" s="1">
        <v>0.2</v>
      </c>
      <c r="K479" t="str">
        <f t="shared" si="23"/>
        <v>0-1 hours</v>
      </c>
      <c r="L479" t="s">
        <v>13</v>
      </c>
      <c r="M479">
        <v>6</v>
      </c>
      <c r="N479">
        <v>3</v>
      </c>
      <c r="O479">
        <v>7</v>
      </c>
      <c r="P479">
        <v>0</v>
      </c>
    </row>
    <row r="480" spans="1:16" x14ac:dyDescent="0.25">
      <c r="A480">
        <v>14</v>
      </c>
      <c r="B480" t="s">
        <v>11</v>
      </c>
      <c r="C480">
        <v>2.7</v>
      </c>
      <c r="D480" t="str">
        <f t="shared" si="21"/>
        <v>Medium</v>
      </c>
      <c r="E480" t="s">
        <v>18</v>
      </c>
      <c r="F480" s="1">
        <v>6.3</v>
      </c>
      <c r="G480" t="str">
        <f t="shared" si="22"/>
        <v>Low</v>
      </c>
      <c r="H480">
        <v>0.6</v>
      </c>
      <c r="I480">
        <v>3.88</v>
      </c>
      <c r="J480" s="1">
        <v>0.3</v>
      </c>
      <c r="K480" t="str">
        <f t="shared" si="23"/>
        <v>0-1 hours</v>
      </c>
      <c r="L480" t="s">
        <v>17</v>
      </c>
      <c r="M480">
        <v>6</v>
      </c>
      <c r="N480">
        <v>6</v>
      </c>
      <c r="O480">
        <v>6</v>
      </c>
      <c r="P480">
        <v>0</v>
      </c>
    </row>
    <row r="481" spans="1:16" x14ac:dyDescent="0.25">
      <c r="A481">
        <v>16</v>
      </c>
      <c r="B481" t="s">
        <v>11</v>
      </c>
      <c r="C481">
        <v>7.4</v>
      </c>
      <c r="D481" t="str">
        <f t="shared" si="21"/>
        <v>High</v>
      </c>
      <c r="E481" t="s">
        <v>15</v>
      </c>
      <c r="F481" s="1">
        <v>7.5</v>
      </c>
      <c r="G481" t="str">
        <f t="shared" si="22"/>
        <v>Low</v>
      </c>
      <c r="H481">
        <v>1.7</v>
      </c>
      <c r="I481">
        <v>3.16</v>
      </c>
      <c r="J481" s="1">
        <v>1.8</v>
      </c>
      <c r="K481" t="str">
        <f t="shared" si="23"/>
        <v>1-2 hours</v>
      </c>
      <c r="L481" t="s">
        <v>17</v>
      </c>
      <c r="M481">
        <v>2</v>
      </c>
      <c r="N481">
        <v>3</v>
      </c>
      <c r="O481">
        <v>2</v>
      </c>
      <c r="P481">
        <v>0</v>
      </c>
    </row>
    <row r="482" spans="1:16" x14ac:dyDescent="0.25">
      <c r="A482">
        <v>15</v>
      </c>
      <c r="B482" t="s">
        <v>11</v>
      </c>
      <c r="C482">
        <v>6.2</v>
      </c>
      <c r="D482" t="str">
        <f t="shared" si="21"/>
        <v>Medium</v>
      </c>
      <c r="E482" t="s">
        <v>15</v>
      </c>
      <c r="F482" s="1">
        <v>4.5999999999999996</v>
      </c>
      <c r="G482" t="str">
        <f t="shared" si="22"/>
        <v>Low</v>
      </c>
      <c r="H482">
        <v>1.1000000000000001</v>
      </c>
      <c r="I482">
        <v>2.94</v>
      </c>
      <c r="J482" s="1">
        <v>1.8</v>
      </c>
      <c r="K482" t="str">
        <f t="shared" si="23"/>
        <v>1-2 hours</v>
      </c>
      <c r="L482" t="s">
        <v>16</v>
      </c>
      <c r="M482">
        <v>4</v>
      </c>
      <c r="N482">
        <v>2</v>
      </c>
      <c r="O482">
        <v>3</v>
      </c>
      <c r="P482">
        <v>0</v>
      </c>
    </row>
    <row r="483" spans="1:16" x14ac:dyDescent="0.25">
      <c r="A483">
        <v>16</v>
      </c>
      <c r="B483" t="s">
        <v>11</v>
      </c>
      <c r="C483">
        <v>2.2999999999999998</v>
      </c>
      <c r="D483" t="str">
        <f t="shared" si="21"/>
        <v>Medium</v>
      </c>
      <c r="E483" t="s">
        <v>15</v>
      </c>
      <c r="F483" s="1">
        <v>8.8000000000000007</v>
      </c>
      <c r="G483" t="str">
        <f t="shared" si="22"/>
        <v>Normal</v>
      </c>
      <c r="H483">
        <v>1</v>
      </c>
      <c r="I483">
        <v>2.5099999999999998</v>
      </c>
      <c r="J483" s="1">
        <v>2</v>
      </c>
      <c r="K483" t="str">
        <f t="shared" si="23"/>
        <v>1-2 hours</v>
      </c>
      <c r="L483" t="s">
        <v>17</v>
      </c>
      <c r="M483">
        <v>6</v>
      </c>
      <c r="N483">
        <v>10</v>
      </c>
      <c r="O483">
        <v>10</v>
      </c>
      <c r="P483">
        <v>0</v>
      </c>
    </row>
    <row r="484" spans="1:16" x14ac:dyDescent="0.25">
      <c r="A484">
        <v>18</v>
      </c>
      <c r="B484" t="s">
        <v>11</v>
      </c>
      <c r="C484">
        <v>1.8</v>
      </c>
      <c r="D484" t="str">
        <f t="shared" si="21"/>
        <v>Low</v>
      </c>
      <c r="E484" t="s">
        <v>15</v>
      </c>
      <c r="F484" s="1">
        <v>5.2</v>
      </c>
      <c r="G484" t="str">
        <f t="shared" si="22"/>
        <v>Low</v>
      </c>
      <c r="H484">
        <v>1.4</v>
      </c>
      <c r="I484">
        <v>2.68</v>
      </c>
      <c r="J484" s="1">
        <v>0.1</v>
      </c>
      <c r="K484" t="str">
        <f t="shared" si="23"/>
        <v>0-1 hours</v>
      </c>
      <c r="L484" t="s">
        <v>16</v>
      </c>
      <c r="M484">
        <v>6</v>
      </c>
      <c r="N484">
        <v>2</v>
      </c>
      <c r="O484">
        <v>10</v>
      </c>
      <c r="P484">
        <v>0</v>
      </c>
    </row>
    <row r="485" spans="1:16" x14ac:dyDescent="0.25">
      <c r="A485">
        <v>16</v>
      </c>
      <c r="B485" t="s">
        <v>14</v>
      </c>
      <c r="C485">
        <v>1.3</v>
      </c>
      <c r="D485" t="str">
        <f t="shared" si="21"/>
        <v>Low</v>
      </c>
      <c r="E485" t="s">
        <v>12</v>
      </c>
      <c r="F485" s="1">
        <v>4.9000000000000004</v>
      </c>
      <c r="G485" t="str">
        <f t="shared" si="22"/>
        <v>Low</v>
      </c>
      <c r="H485">
        <v>2.6</v>
      </c>
      <c r="I485">
        <v>2.89</v>
      </c>
      <c r="J485" s="1">
        <v>0.2</v>
      </c>
      <c r="K485" t="str">
        <f t="shared" si="23"/>
        <v>0-1 hours</v>
      </c>
      <c r="L485" t="s">
        <v>13</v>
      </c>
      <c r="M485">
        <v>2</v>
      </c>
      <c r="N485">
        <v>5</v>
      </c>
      <c r="O485">
        <v>2</v>
      </c>
      <c r="P485">
        <v>0</v>
      </c>
    </row>
    <row r="486" spans="1:16" x14ac:dyDescent="0.25">
      <c r="A486">
        <v>15</v>
      </c>
      <c r="B486" t="s">
        <v>11</v>
      </c>
      <c r="C486">
        <v>2.1</v>
      </c>
      <c r="D486" t="str">
        <f t="shared" si="21"/>
        <v>Medium</v>
      </c>
      <c r="E486" t="s">
        <v>12</v>
      </c>
      <c r="F486" s="1">
        <v>4.4000000000000004</v>
      </c>
      <c r="G486" t="str">
        <f t="shared" si="22"/>
        <v>Low</v>
      </c>
      <c r="H486">
        <v>2.1</v>
      </c>
      <c r="I486">
        <v>3.43</v>
      </c>
      <c r="J486" s="1">
        <v>1.9</v>
      </c>
      <c r="K486" t="str">
        <f t="shared" si="23"/>
        <v>1-2 hours</v>
      </c>
      <c r="L486" t="s">
        <v>13</v>
      </c>
      <c r="M486">
        <v>6</v>
      </c>
      <c r="N486">
        <v>6</v>
      </c>
      <c r="O486">
        <v>7</v>
      </c>
      <c r="P486">
        <v>0</v>
      </c>
    </row>
    <row r="487" spans="1:16" x14ac:dyDescent="0.25">
      <c r="A487">
        <v>14</v>
      </c>
      <c r="B487" t="s">
        <v>11</v>
      </c>
      <c r="C487">
        <v>3.9</v>
      </c>
      <c r="D487" t="str">
        <f t="shared" si="21"/>
        <v>Medium</v>
      </c>
      <c r="E487" t="s">
        <v>12</v>
      </c>
      <c r="F487" s="1">
        <v>7.7</v>
      </c>
      <c r="G487" t="str">
        <f t="shared" si="22"/>
        <v>Low</v>
      </c>
      <c r="H487">
        <v>1.4</v>
      </c>
      <c r="I487">
        <v>2.86</v>
      </c>
      <c r="J487" s="1">
        <v>1.7</v>
      </c>
      <c r="K487" t="str">
        <f t="shared" si="23"/>
        <v>1-2 hours</v>
      </c>
      <c r="L487" t="s">
        <v>16</v>
      </c>
      <c r="M487">
        <v>3</v>
      </c>
      <c r="N487">
        <v>5</v>
      </c>
      <c r="O487">
        <v>1</v>
      </c>
      <c r="P487">
        <v>0</v>
      </c>
    </row>
    <row r="488" spans="1:16" x14ac:dyDescent="0.25">
      <c r="A488">
        <v>18</v>
      </c>
      <c r="B488" t="s">
        <v>14</v>
      </c>
      <c r="C488">
        <v>3.8</v>
      </c>
      <c r="D488" t="str">
        <f t="shared" si="21"/>
        <v>Medium</v>
      </c>
      <c r="E488" t="s">
        <v>18</v>
      </c>
      <c r="F488" s="1">
        <v>4.5</v>
      </c>
      <c r="G488" t="str">
        <f t="shared" si="22"/>
        <v>Low</v>
      </c>
      <c r="H488">
        <v>1.3</v>
      </c>
      <c r="I488">
        <v>3.06</v>
      </c>
      <c r="J488" s="1">
        <v>0.3</v>
      </c>
      <c r="K488" t="str">
        <f t="shared" si="23"/>
        <v>0-1 hours</v>
      </c>
      <c r="L488" t="s">
        <v>17</v>
      </c>
      <c r="M488">
        <v>7</v>
      </c>
      <c r="N488">
        <v>8</v>
      </c>
      <c r="O488">
        <v>1</v>
      </c>
      <c r="P488">
        <v>0</v>
      </c>
    </row>
    <row r="489" spans="1:16" x14ac:dyDescent="0.25">
      <c r="A489">
        <v>15</v>
      </c>
      <c r="B489" t="s">
        <v>11</v>
      </c>
      <c r="C489">
        <v>6.4</v>
      </c>
      <c r="D489" t="str">
        <f t="shared" si="21"/>
        <v>Medium</v>
      </c>
      <c r="E489" t="s">
        <v>12</v>
      </c>
      <c r="F489" s="1">
        <v>7.8</v>
      </c>
      <c r="G489" t="str">
        <f t="shared" si="22"/>
        <v>Low</v>
      </c>
      <c r="H489">
        <v>0.7</v>
      </c>
      <c r="I489">
        <v>2.6</v>
      </c>
      <c r="J489" s="1">
        <v>0.7</v>
      </c>
      <c r="K489" t="str">
        <f t="shared" si="23"/>
        <v>0-1 hours</v>
      </c>
      <c r="L489" t="s">
        <v>16</v>
      </c>
      <c r="M489">
        <v>4</v>
      </c>
      <c r="N489">
        <v>4</v>
      </c>
      <c r="O489">
        <v>2</v>
      </c>
      <c r="P489">
        <v>0</v>
      </c>
    </row>
    <row r="490" spans="1:16" x14ac:dyDescent="0.25">
      <c r="A490">
        <v>19</v>
      </c>
      <c r="B490" t="s">
        <v>11</v>
      </c>
      <c r="C490">
        <v>3.2</v>
      </c>
      <c r="D490" t="str">
        <f t="shared" si="21"/>
        <v>Medium</v>
      </c>
      <c r="E490" t="s">
        <v>12</v>
      </c>
      <c r="F490" s="1">
        <v>6.2</v>
      </c>
      <c r="G490" t="str">
        <f t="shared" si="22"/>
        <v>Low</v>
      </c>
      <c r="H490">
        <v>2.6</v>
      </c>
      <c r="I490">
        <v>3.72</v>
      </c>
      <c r="J490" s="1">
        <v>1.9</v>
      </c>
      <c r="K490" t="str">
        <f t="shared" si="23"/>
        <v>1-2 hours</v>
      </c>
      <c r="L490" t="s">
        <v>16</v>
      </c>
      <c r="M490">
        <v>9</v>
      </c>
      <c r="N490">
        <v>5</v>
      </c>
      <c r="O490">
        <v>7</v>
      </c>
      <c r="P490">
        <v>0</v>
      </c>
    </row>
    <row r="491" spans="1:16" x14ac:dyDescent="0.25">
      <c r="A491">
        <v>13</v>
      </c>
      <c r="B491" t="s">
        <v>11</v>
      </c>
      <c r="C491">
        <v>4.4000000000000004</v>
      </c>
      <c r="D491" t="str">
        <f t="shared" si="21"/>
        <v>Medium</v>
      </c>
      <c r="E491" t="s">
        <v>18</v>
      </c>
      <c r="F491" s="1">
        <v>8.1999999999999993</v>
      </c>
      <c r="G491" t="str">
        <f t="shared" si="22"/>
        <v>Normal</v>
      </c>
      <c r="H491">
        <v>1.5</v>
      </c>
      <c r="I491">
        <v>3.98</v>
      </c>
      <c r="J491" s="1">
        <v>1.4</v>
      </c>
      <c r="K491" t="str">
        <f t="shared" si="23"/>
        <v>1-2 hours</v>
      </c>
      <c r="L491" t="s">
        <v>16</v>
      </c>
      <c r="M491">
        <v>9</v>
      </c>
      <c r="N491">
        <v>6</v>
      </c>
      <c r="O491">
        <v>6</v>
      </c>
      <c r="P491">
        <v>0</v>
      </c>
    </row>
    <row r="492" spans="1:16" x14ac:dyDescent="0.25">
      <c r="A492">
        <v>15</v>
      </c>
      <c r="B492" t="s">
        <v>11</v>
      </c>
      <c r="C492">
        <v>1.3</v>
      </c>
      <c r="D492" t="str">
        <f t="shared" si="21"/>
        <v>Low</v>
      </c>
      <c r="E492" t="s">
        <v>15</v>
      </c>
      <c r="F492" s="1">
        <v>7.5</v>
      </c>
      <c r="G492" t="str">
        <f t="shared" si="22"/>
        <v>Low</v>
      </c>
      <c r="H492">
        <v>1.3</v>
      </c>
      <c r="I492">
        <v>2.99</v>
      </c>
      <c r="J492" s="1">
        <v>1.4</v>
      </c>
      <c r="K492" t="str">
        <f t="shared" si="23"/>
        <v>1-2 hours</v>
      </c>
      <c r="L492" t="s">
        <v>13</v>
      </c>
      <c r="M492">
        <v>1</v>
      </c>
      <c r="N492">
        <v>5</v>
      </c>
      <c r="O492">
        <v>2</v>
      </c>
      <c r="P492">
        <v>0</v>
      </c>
    </row>
    <row r="493" spans="1:16" x14ac:dyDescent="0.25">
      <c r="A493">
        <v>18</v>
      </c>
      <c r="B493" t="s">
        <v>14</v>
      </c>
      <c r="C493">
        <v>5.7</v>
      </c>
      <c r="D493" t="str">
        <f t="shared" si="21"/>
        <v>Medium</v>
      </c>
      <c r="E493" t="s">
        <v>15</v>
      </c>
      <c r="F493" s="1">
        <v>6.2</v>
      </c>
      <c r="G493" t="str">
        <f t="shared" si="22"/>
        <v>Low</v>
      </c>
      <c r="H493">
        <v>0.5</v>
      </c>
      <c r="I493">
        <v>3.98</v>
      </c>
      <c r="J493" s="1">
        <v>1.7</v>
      </c>
      <c r="K493" t="str">
        <f t="shared" si="23"/>
        <v>1-2 hours</v>
      </c>
      <c r="L493" t="s">
        <v>17</v>
      </c>
      <c r="M493">
        <v>7</v>
      </c>
      <c r="N493">
        <v>6</v>
      </c>
      <c r="O493">
        <v>3</v>
      </c>
      <c r="P493">
        <v>0</v>
      </c>
    </row>
    <row r="494" spans="1:16" x14ac:dyDescent="0.25">
      <c r="A494">
        <v>13</v>
      </c>
      <c r="B494" t="s">
        <v>11</v>
      </c>
      <c r="C494">
        <v>4</v>
      </c>
      <c r="D494" t="str">
        <f t="shared" si="21"/>
        <v>Medium</v>
      </c>
      <c r="E494" t="s">
        <v>15</v>
      </c>
      <c r="F494" s="1">
        <v>5</v>
      </c>
      <c r="G494" t="str">
        <f t="shared" si="22"/>
        <v>Low</v>
      </c>
      <c r="H494">
        <v>2.9</v>
      </c>
      <c r="I494">
        <v>3.84</v>
      </c>
      <c r="J494" s="1">
        <v>0.1</v>
      </c>
      <c r="K494" t="str">
        <f t="shared" si="23"/>
        <v>0-1 hours</v>
      </c>
      <c r="L494" t="s">
        <v>13</v>
      </c>
      <c r="M494">
        <v>7</v>
      </c>
      <c r="N494">
        <v>8</v>
      </c>
      <c r="O494">
        <v>10</v>
      </c>
      <c r="P494">
        <v>0</v>
      </c>
    </row>
    <row r="495" spans="1:16" x14ac:dyDescent="0.25">
      <c r="A495">
        <v>16</v>
      </c>
      <c r="B495" t="s">
        <v>14</v>
      </c>
      <c r="C495">
        <v>4.8</v>
      </c>
      <c r="D495" t="str">
        <f t="shared" si="21"/>
        <v>Medium</v>
      </c>
      <c r="E495" t="s">
        <v>12</v>
      </c>
      <c r="F495" s="1">
        <v>6.7</v>
      </c>
      <c r="G495" t="str">
        <f t="shared" si="22"/>
        <v>Low</v>
      </c>
      <c r="H495">
        <v>1.4</v>
      </c>
      <c r="I495">
        <v>2.44</v>
      </c>
      <c r="J495" s="1">
        <v>0.3</v>
      </c>
      <c r="K495" t="str">
        <f t="shared" si="23"/>
        <v>0-1 hours</v>
      </c>
      <c r="L495" t="s">
        <v>13</v>
      </c>
      <c r="M495">
        <v>1</v>
      </c>
      <c r="N495">
        <v>3</v>
      </c>
      <c r="O495">
        <v>1</v>
      </c>
      <c r="P495">
        <v>0</v>
      </c>
    </row>
    <row r="496" spans="1:16" x14ac:dyDescent="0.25">
      <c r="A496">
        <v>19</v>
      </c>
      <c r="B496" t="s">
        <v>11</v>
      </c>
      <c r="C496">
        <v>5.8</v>
      </c>
      <c r="D496" t="str">
        <f t="shared" si="21"/>
        <v>Medium</v>
      </c>
      <c r="E496" t="s">
        <v>18</v>
      </c>
      <c r="F496" s="1">
        <v>7.5</v>
      </c>
      <c r="G496" t="str">
        <f t="shared" si="22"/>
        <v>Low</v>
      </c>
      <c r="H496">
        <v>1.9</v>
      </c>
      <c r="I496">
        <v>2.08</v>
      </c>
      <c r="J496" s="1">
        <v>0.1</v>
      </c>
      <c r="K496" t="str">
        <f t="shared" si="23"/>
        <v>0-1 hours</v>
      </c>
      <c r="L496" t="s">
        <v>16</v>
      </c>
      <c r="M496">
        <v>2</v>
      </c>
      <c r="N496">
        <v>1</v>
      </c>
      <c r="O496">
        <v>3</v>
      </c>
      <c r="P496">
        <v>0</v>
      </c>
    </row>
    <row r="497" spans="1:16" x14ac:dyDescent="0.25">
      <c r="A497">
        <v>16</v>
      </c>
      <c r="B497" t="s">
        <v>11</v>
      </c>
      <c r="C497">
        <v>5.8</v>
      </c>
      <c r="D497" t="str">
        <f t="shared" si="21"/>
        <v>Medium</v>
      </c>
      <c r="E497" t="s">
        <v>18</v>
      </c>
      <c r="F497" s="1">
        <v>8.9</v>
      </c>
      <c r="G497" t="str">
        <f t="shared" si="22"/>
        <v>Normal</v>
      </c>
      <c r="H497">
        <v>1.1000000000000001</v>
      </c>
      <c r="I497">
        <v>2.08</v>
      </c>
      <c r="J497" s="1">
        <v>1.9</v>
      </c>
      <c r="K497" t="str">
        <f t="shared" si="23"/>
        <v>1-2 hours</v>
      </c>
      <c r="L497" t="s">
        <v>17</v>
      </c>
      <c r="M497">
        <v>8</v>
      </c>
      <c r="N497">
        <v>5</v>
      </c>
      <c r="O497">
        <v>9</v>
      </c>
      <c r="P497">
        <v>0</v>
      </c>
    </row>
    <row r="498" spans="1:16" x14ac:dyDescent="0.25">
      <c r="A498">
        <v>13</v>
      </c>
      <c r="B498" t="s">
        <v>11</v>
      </c>
      <c r="C498">
        <v>3.2</v>
      </c>
      <c r="D498" t="str">
        <f t="shared" si="21"/>
        <v>Medium</v>
      </c>
      <c r="E498" t="s">
        <v>15</v>
      </c>
      <c r="F498" s="1">
        <v>5.0999999999999996</v>
      </c>
      <c r="G498" t="str">
        <f t="shared" si="22"/>
        <v>Low</v>
      </c>
      <c r="H498">
        <v>1.6</v>
      </c>
      <c r="I498">
        <v>2.87</v>
      </c>
      <c r="J498" s="1">
        <v>1.8</v>
      </c>
      <c r="K498" t="str">
        <f t="shared" si="23"/>
        <v>1-2 hours</v>
      </c>
      <c r="L498" t="s">
        <v>17</v>
      </c>
      <c r="M498">
        <v>4</v>
      </c>
      <c r="N498">
        <v>9</v>
      </c>
      <c r="O498">
        <v>8</v>
      </c>
      <c r="P498">
        <v>0</v>
      </c>
    </row>
    <row r="499" spans="1:16" x14ac:dyDescent="0.25">
      <c r="A499">
        <v>16</v>
      </c>
      <c r="B499" t="s">
        <v>14</v>
      </c>
      <c r="C499">
        <v>5.2</v>
      </c>
      <c r="D499" t="str">
        <f t="shared" si="21"/>
        <v>Medium</v>
      </c>
      <c r="E499" t="s">
        <v>18</v>
      </c>
      <c r="F499" s="1">
        <v>4</v>
      </c>
      <c r="G499" t="str">
        <f t="shared" si="22"/>
        <v>Low</v>
      </c>
      <c r="H499">
        <v>2.4</v>
      </c>
      <c r="I499">
        <v>2.35</v>
      </c>
      <c r="J499" s="1">
        <v>1.6</v>
      </c>
      <c r="K499" t="str">
        <f t="shared" si="23"/>
        <v>1-2 hours</v>
      </c>
      <c r="L499" t="s">
        <v>13</v>
      </c>
      <c r="M499">
        <v>10</v>
      </c>
      <c r="N499">
        <v>5</v>
      </c>
      <c r="O499">
        <v>2</v>
      </c>
      <c r="P499">
        <v>0</v>
      </c>
    </row>
    <row r="500" spans="1:16" x14ac:dyDescent="0.25">
      <c r="A500">
        <v>17</v>
      </c>
      <c r="B500" t="s">
        <v>11</v>
      </c>
      <c r="C500">
        <v>2.4</v>
      </c>
      <c r="D500" t="str">
        <f t="shared" si="21"/>
        <v>Medium</v>
      </c>
      <c r="E500" t="s">
        <v>15</v>
      </c>
      <c r="F500" s="1">
        <v>6</v>
      </c>
      <c r="G500" t="str">
        <f t="shared" si="22"/>
        <v>Low</v>
      </c>
      <c r="H500">
        <v>0.7</v>
      </c>
      <c r="I500">
        <v>3.67</v>
      </c>
      <c r="J500" s="1">
        <v>1.5</v>
      </c>
      <c r="K500" t="str">
        <f t="shared" si="23"/>
        <v>1-2 hours</v>
      </c>
      <c r="L500" t="s">
        <v>13</v>
      </c>
      <c r="M500">
        <v>7</v>
      </c>
      <c r="N500">
        <v>9</v>
      </c>
      <c r="O500">
        <v>2</v>
      </c>
      <c r="P500">
        <v>0</v>
      </c>
    </row>
    <row r="501" spans="1:16" x14ac:dyDescent="0.25">
      <c r="A501">
        <v>15</v>
      </c>
      <c r="B501" t="s">
        <v>11</v>
      </c>
      <c r="C501">
        <v>7.4</v>
      </c>
      <c r="D501" t="str">
        <f t="shared" si="21"/>
        <v>High</v>
      </c>
      <c r="E501" t="s">
        <v>18</v>
      </c>
      <c r="F501" s="1">
        <v>5.9</v>
      </c>
      <c r="G501" t="str">
        <f t="shared" si="22"/>
        <v>Low</v>
      </c>
      <c r="H501">
        <v>2.6</v>
      </c>
      <c r="I501">
        <v>2.89</v>
      </c>
      <c r="J501" s="1">
        <v>1.9</v>
      </c>
      <c r="K501" t="str">
        <f t="shared" si="23"/>
        <v>1-2 hours</v>
      </c>
      <c r="L501" t="s">
        <v>17</v>
      </c>
      <c r="M501">
        <v>7</v>
      </c>
      <c r="N501">
        <v>3</v>
      </c>
      <c r="O501">
        <v>8</v>
      </c>
      <c r="P501">
        <v>0</v>
      </c>
    </row>
    <row r="502" spans="1:16" x14ac:dyDescent="0.25">
      <c r="A502">
        <v>18</v>
      </c>
      <c r="B502" t="s">
        <v>14</v>
      </c>
      <c r="C502">
        <v>7.1</v>
      </c>
      <c r="D502" t="str">
        <f t="shared" si="21"/>
        <v>High</v>
      </c>
      <c r="E502" t="s">
        <v>12</v>
      </c>
      <c r="F502" s="1">
        <v>4.8</v>
      </c>
      <c r="G502" t="str">
        <f t="shared" si="22"/>
        <v>Low</v>
      </c>
      <c r="H502">
        <v>2.1</v>
      </c>
      <c r="I502">
        <v>2.5099999999999998</v>
      </c>
      <c r="J502" s="1">
        <v>0.9</v>
      </c>
      <c r="K502" t="str">
        <f t="shared" si="23"/>
        <v>0-1 hours</v>
      </c>
      <c r="L502" t="s">
        <v>16</v>
      </c>
      <c r="M502">
        <v>1</v>
      </c>
      <c r="N502">
        <v>1</v>
      </c>
      <c r="O502">
        <v>10</v>
      </c>
      <c r="P502">
        <v>0</v>
      </c>
    </row>
    <row r="503" spans="1:16" x14ac:dyDescent="0.25">
      <c r="A503">
        <v>16</v>
      </c>
      <c r="B503" t="s">
        <v>11</v>
      </c>
      <c r="C503">
        <v>6.5</v>
      </c>
      <c r="D503" t="str">
        <f t="shared" si="21"/>
        <v>Medium</v>
      </c>
      <c r="E503" t="s">
        <v>15</v>
      </c>
      <c r="F503" s="1">
        <v>7.4</v>
      </c>
      <c r="G503" t="str">
        <f t="shared" si="22"/>
        <v>Low</v>
      </c>
      <c r="H503">
        <v>1.9</v>
      </c>
      <c r="I503">
        <v>2.2200000000000002</v>
      </c>
      <c r="J503" s="1">
        <v>1.1000000000000001</v>
      </c>
      <c r="K503" t="str">
        <f t="shared" si="23"/>
        <v>1-2 hours</v>
      </c>
      <c r="L503" t="s">
        <v>17</v>
      </c>
      <c r="M503">
        <v>10</v>
      </c>
      <c r="N503">
        <v>10</v>
      </c>
      <c r="O503">
        <v>2</v>
      </c>
      <c r="P503">
        <v>0</v>
      </c>
    </row>
    <row r="504" spans="1:16" x14ac:dyDescent="0.25">
      <c r="A504">
        <v>13</v>
      </c>
      <c r="B504" t="s">
        <v>11</v>
      </c>
      <c r="C504">
        <v>7.4</v>
      </c>
      <c r="D504" t="str">
        <f t="shared" si="21"/>
        <v>High</v>
      </c>
      <c r="E504" t="s">
        <v>18</v>
      </c>
      <c r="F504" s="1">
        <v>7</v>
      </c>
      <c r="G504" t="str">
        <f t="shared" si="22"/>
        <v>Low</v>
      </c>
      <c r="H504">
        <v>1.8</v>
      </c>
      <c r="I504">
        <v>2.17</v>
      </c>
      <c r="J504" s="1">
        <v>1.4</v>
      </c>
      <c r="K504" t="str">
        <f t="shared" si="23"/>
        <v>1-2 hours</v>
      </c>
      <c r="L504" t="s">
        <v>17</v>
      </c>
      <c r="M504">
        <v>9</v>
      </c>
      <c r="N504">
        <v>10</v>
      </c>
      <c r="O504">
        <v>5</v>
      </c>
      <c r="P504">
        <v>0</v>
      </c>
    </row>
    <row r="505" spans="1:16" x14ac:dyDescent="0.25">
      <c r="A505">
        <v>15</v>
      </c>
      <c r="B505" t="s">
        <v>14</v>
      </c>
      <c r="C505">
        <v>3.9</v>
      </c>
      <c r="D505" t="str">
        <f t="shared" si="21"/>
        <v>Medium</v>
      </c>
      <c r="E505" t="s">
        <v>12</v>
      </c>
      <c r="F505" s="1">
        <v>6.4</v>
      </c>
      <c r="G505" t="str">
        <f t="shared" si="22"/>
        <v>Low</v>
      </c>
      <c r="H505">
        <v>1.7</v>
      </c>
      <c r="I505">
        <v>2.87</v>
      </c>
      <c r="J505" s="1">
        <v>1.8</v>
      </c>
      <c r="K505" t="str">
        <f t="shared" si="23"/>
        <v>1-2 hours</v>
      </c>
      <c r="L505" t="s">
        <v>16</v>
      </c>
      <c r="M505">
        <v>6</v>
      </c>
      <c r="N505">
        <v>6</v>
      </c>
      <c r="O505">
        <v>6</v>
      </c>
      <c r="P505">
        <v>0</v>
      </c>
    </row>
    <row r="506" spans="1:16" x14ac:dyDescent="0.25">
      <c r="A506">
        <v>15</v>
      </c>
      <c r="B506" t="s">
        <v>14</v>
      </c>
      <c r="C506">
        <v>4.5999999999999996</v>
      </c>
      <c r="D506" t="str">
        <f t="shared" si="21"/>
        <v>Medium</v>
      </c>
      <c r="E506" t="s">
        <v>18</v>
      </c>
      <c r="F506" s="1">
        <v>8.6</v>
      </c>
      <c r="G506" t="str">
        <f t="shared" si="22"/>
        <v>Normal</v>
      </c>
      <c r="H506">
        <v>2</v>
      </c>
      <c r="I506">
        <v>3.01</v>
      </c>
      <c r="J506" s="1">
        <v>0</v>
      </c>
      <c r="K506" t="str">
        <f t="shared" si="23"/>
        <v>No activity</v>
      </c>
      <c r="L506" t="s">
        <v>13</v>
      </c>
      <c r="M506">
        <v>1</v>
      </c>
      <c r="N506">
        <v>8</v>
      </c>
      <c r="O506">
        <v>3</v>
      </c>
      <c r="P506">
        <v>0</v>
      </c>
    </row>
    <row r="507" spans="1:16" x14ac:dyDescent="0.25">
      <c r="A507">
        <v>19</v>
      </c>
      <c r="B507" t="s">
        <v>11</v>
      </c>
      <c r="C507">
        <v>1.5</v>
      </c>
      <c r="D507" t="str">
        <f t="shared" si="21"/>
        <v>Low</v>
      </c>
      <c r="E507" t="s">
        <v>15</v>
      </c>
      <c r="F507" s="1">
        <v>6.7</v>
      </c>
      <c r="G507" t="str">
        <f t="shared" si="22"/>
        <v>Low</v>
      </c>
      <c r="H507">
        <v>1</v>
      </c>
      <c r="I507">
        <v>3.9</v>
      </c>
      <c r="J507" s="1">
        <v>0.4</v>
      </c>
      <c r="K507" t="str">
        <f t="shared" si="23"/>
        <v>0-1 hours</v>
      </c>
      <c r="L507" t="s">
        <v>13</v>
      </c>
      <c r="M507">
        <v>4</v>
      </c>
      <c r="N507">
        <v>3</v>
      </c>
      <c r="O507">
        <v>3</v>
      </c>
      <c r="P507">
        <v>0</v>
      </c>
    </row>
    <row r="508" spans="1:16" x14ac:dyDescent="0.25">
      <c r="A508">
        <v>15</v>
      </c>
      <c r="B508" t="s">
        <v>14</v>
      </c>
      <c r="C508">
        <v>5.8</v>
      </c>
      <c r="D508" t="str">
        <f t="shared" si="21"/>
        <v>Medium</v>
      </c>
      <c r="E508" t="s">
        <v>12</v>
      </c>
      <c r="F508" s="1">
        <v>7.1</v>
      </c>
      <c r="G508" t="str">
        <f t="shared" si="22"/>
        <v>Low</v>
      </c>
      <c r="H508">
        <v>1.1000000000000001</v>
      </c>
      <c r="I508">
        <v>3.72</v>
      </c>
      <c r="J508" s="1">
        <v>1.5</v>
      </c>
      <c r="K508" t="str">
        <f t="shared" si="23"/>
        <v>1-2 hours</v>
      </c>
      <c r="L508" t="s">
        <v>13</v>
      </c>
      <c r="M508">
        <v>9</v>
      </c>
      <c r="N508">
        <v>6</v>
      </c>
      <c r="O508">
        <v>6</v>
      </c>
      <c r="P508">
        <v>0</v>
      </c>
    </row>
    <row r="509" spans="1:16" x14ac:dyDescent="0.25">
      <c r="A509">
        <v>17</v>
      </c>
      <c r="B509" t="s">
        <v>14</v>
      </c>
      <c r="C509">
        <v>6.4</v>
      </c>
      <c r="D509" t="str">
        <f t="shared" si="21"/>
        <v>Medium</v>
      </c>
      <c r="E509" t="s">
        <v>15</v>
      </c>
      <c r="F509" s="1">
        <v>4.9000000000000004</v>
      </c>
      <c r="G509" t="str">
        <f t="shared" si="22"/>
        <v>Low</v>
      </c>
      <c r="H509">
        <v>2.1</v>
      </c>
      <c r="I509">
        <v>2.78</v>
      </c>
      <c r="J509" s="1">
        <v>1</v>
      </c>
      <c r="K509" t="str">
        <f t="shared" si="23"/>
        <v>0-1 hours</v>
      </c>
      <c r="L509" t="s">
        <v>16</v>
      </c>
      <c r="M509">
        <v>2</v>
      </c>
      <c r="N509">
        <v>2</v>
      </c>
      <c r="O509">
        <v>6</v>
      </c>
      <c r="P509">
        <v>0</v>
      </c>
    </row>
    <row r="510" spans="1:16" x14ac:dyDescent="0.25">
      <c r="A510">
        <v>16</v>
      </c>
      <c r="B510" t="s">
        <v>14</v>
      </c>
      <c r="C510">
        <v>2.1</v>
      </c>
      <c r="D510" t="str">
        <f t="shared" si="21"/>
        <v>Medium</v>
      </c>
      <c r="E510" t="s">
        <v>15</v>
      </c>
      <c r="F510" s="1">
        <v>8.1999999999999993</v>
      </c>
      <c r="G510" t="str">
        <f t="shared" si="22"/>
        <v>Normal</v>
      </c>
      <c r="H510">
        <v>2.4</v>
      </c>
      <c r="I510">
        <v>3.25</v>
      </c>
      <c r="J510" s="1">
        <v>0.1</v>
      </c>
      <c r="K510" t="str">
        <f t="shared" si="23"/>
        <v>0-1 hours</v>
      </c>
      <c r="L510" t="s">
        <v>16</v>
      </c>
      <c r="M510">
        <v>1</v>
      </c>
      <c r="N510">
        <v>1</v>
      </c>
      <c r="O510">
        <v>8</v>
      </c>
      <c r="P510">
        <v>0</v>
      </c>
    </row>
    <row r="511" spans="1:16" x14ac:dyDescent="0.25">
      <c r="A511">
        <v>17</v>
      </c>
      <c r="B511" t="s">
        <v>14</v>
      </c>
      <c r="C511">
        <v>2.2000000000000002</v>
      </c>
      <c r="D511" t="str">
        <f t="shared" si="21"/>
        <v>Medium</v>
      </c>
      <c r="E511" t="s">
        <v>15</v>
      </c>
      <c r="F511" s="1">
        <v>6.5</v>
      </c>
      <c r="G511" t="str">
        <f t="shared" si="22"/>
        <v>Low</v>
      </c>
      <c r="H511">
        <v>3</v>
      </c>
      <c r="I511">
        <v>2.4900000000000002</v>
      </c>
      <c r="J511" s="1">
        <v>0.2</v>
      </c>
      <c r="K511" t="str">
        <f t="shared" si="23"/>
        <v>0-1 hours</v>
      </c>
      <c r="L511" t="s">
        <v>17</v>
      </c>
      <c r="M511">
        <v>5</v>
      </c>
      <c r="N511">
        <v>8</v>
      </c>
      <c r="O511">
        <v>4</v>
      </c>
      <c r="P511">
        <v>0</v>
      </c>
    </row>
    <row r="512" spans="1:16" x14ac:dyDescent="0.25">
      <c r="A512">
        <v>14</v>
      </c>
      <c r="B512" t="s">
        <v>11</v>
      </c>
      <c r="C512">
        <v>5.5</v>
      </c>
      <c r="D512" t="str">
        <f t="shared" si="21"/>
        <v>Medium</v>
      </c>
      <c r="E512" t="s">
        <v>15</v>
      </c>
      <c r="F512" s="1">
        <v>7.4</v>
      </c>
      <c r="G512" t="str">
        <f t="shared" si="22"/>
        <v>Low</v>
      </c>
      <c r="H512">
        <v>2.9</v>
      </c>
      <c r="I512">
        <v>3.54</v>
      </c>
      <c r="J512" s="1">
        <v>1.1000000000000001</v>
      </c>
      <c r="K512" t="str">
        <f t="shared" si="23"/>
        <v>1-2 hours</v>
      </c>
      <c r="L512" t="s">
        <v>16</v>
      </c>
      <c r="M512">
        <v>8</v>
      </c>
      <c r="N512">
        <v>4</v>
      </c>
      <c r="O512">
        <v>10</v>
      </c>
      <c r="P512">
        <v>0</v>
      </c>
    </row>
    <row r="513" spans="1:16" x14ac:dyDescent="0.25">
      <c r="A513">
        <v>17</v>
      </c>
      <c r="B513" t="s">
        <v>14</v>
      </c>
      <c r="C513">
        <v>6.6</v>
      </c>
      <c r="D513" t="str">
        <f t="shared" si="21"/>
        <v>Medium</v>
      </c>
      <c r="E513" t="s">
        <v>18</v>
      </c>
      <c r="F513" s="1">
        <v>7.4</v>
      </c>
      <c r="G513" t="str">
        <f t="shared" si="22"/>
        <v>Low</v>
      </c>
      <c r="H513">
        <v>2.2000000000000002</v>
      </c>
      <c r="I513">
        <v>2.63</v>
      </c>
      <c r="J513" s="1">
        <v>0.6</v>
      </c>
      <c r="K513" t="str">
        <f t="shared" si="23"/>
        <v>0-1 hours</v>
      </c>
      <c r="L513" t="s">
        <v>16</v>
      </c>
      <c r="M513">
        <v>7</v>
      </c>
      <c r="N513">
        <v>4</v>
      </c>
      <c r="O513">
        <v>9</v>
      </c>
      <c r="P513">
        <v>0</v>
      </c>
    </row>
    <row r="514" spans="1:16" x14ac:dyDescent="0.25">
      <c r="A514">
        <v>19</v>
      </c>
      <c r="B514" t="s">
        <v>14</v>
      </c>
      <c r="C514">
        <v>5.2</v>
      </c>
      <c r="D514" t="str">
        <f t="shared" ref="D514:D577" si="24">IF(C514&lt;2,"Low",IF(C514&lt;7,"Medium","High"))</f>
        <v>Medium</v>
      </c>
      <c r="E514" t="s">
        <v>12</v>
      </c>
      <c r="F514" s="1">
        <v>6.6</v>
      </c>
      <c r="G514" t="str">
        <f t="shared" ref="G514:G577" si="25">IF(F514&gt;=8,"Normal","Low")</f>
        <v>Low</v>
      </c>
      <c r="H514">
        <v>1.6</v>
      </c>
      <c r="I514">
        <v>2.36</v>
      </c>
      <c r="J514" s="1">
        <v>1.4</v>
      </c>
      <c r="K514" t="str">
        <f t="shared" ref="K514:K577" si="26">IF(J514=0,"No activity",IF(J514&lt;=1,"0-1 hours","1-2 hours"))</f>
        <v>1-2 hours</v>
      </c>
      <c r="L514" t="s">
        <v>13</v>
      </c>
      <c r="M514">
        <v>2</v>
      </c>
      <c r="N514">
        <v>6</v>
      </c>
      <c r="O514">
        <v>10</v>
      </c>
      <c r="P514">
        <v>0</v>
      </c>
    </row>
    <row r="515" spans="1:16" x14ac:dyDescent="0.25">
      <c r="A515">
        <v>17</v>
      </c>
      <c r="B515" t="s">
        <v>11</v>
      </c>
      <c r="C515">
        <v>4.7</v>
      </c>
      <c r="D515" t="str">
        <f t="shared" si="24"/>
        <v>Medium</v>
      </c>
      <c r="E515" t="s">
        <v>15</v>
      </c>
      <c r="F515" s="1">
        <v>5.0999999999999996</v>
      </c>
      <c r="G515" t="str">
        <f t="shared" si="25"/>
        <v>Low</v>
      </c>
      <c r="H515">
        <v>2</v>
      </c>
      <c r="I515">
        <v>2.35</v>
      </c>
      <c r="J515" s="1">
        <v>1.8</v>
      </c>
      <c r="K515" t="str">
        <f t="shared" si="26"/>
        <v>1-2 hours</v>
      </c>
      <c r="L515" t="s">
        <v>13</v>
      </c>
      <c r="M515">
        <v>8</v>
      </c>
      <c r="N515">
        <v>9</v>
      </c>
      <c r="O515">
        <v>1</v>
      </c>
      <c r="P515">
        <v>0</v>
      </c>
    </row>
    <row r="516" spans="1:16" x14ac:dyDescent="0.25">
      <c r="A516">
        <v>19</v>
      </c>
      <c r="B516" t="s">
        <v>14</v>
      </c>
      <c r="C516">
        <v>7.1</v>
      </c>
      <c r="D516" t="str">
        <f t="shared" si="24"/>
        <v>High</v>
      </c>
      <c r="E516" t="s">
        <v>18</v>
      </c>
      <c r="F516" s="1">
        <v>6.3</v>
      </c>
      <c r="G516" t="str">
        <f t="shared" si="25"/>
        <v>Low</v>
      </c>
      <c r="H516">
        <v>2.2000000000000002</v>
      </c>
      <c r="I516">
        <v>3.88</v>
      </c>
      <c r="J516" s="1">
        <v>0.8</v>
      </c>
      <c r="K516" t="str">
        <f t="shared" si="26"/>
        <v>0-1 hours</v>
      </c>
      <c r="L516" t="s">
        <v>16</v>
      </c>
      <c r="M516">
        <v>10</v>
      </c>
      <c r="N516">
        <v>4</v>
      </c>
      <c r="O516">
        <v>9</v>
      </c>
      <c r="P516">
        <v>0</v>
      </c>
    </row>
    <row r="517" spans="1:16" x14ac:dyDescent="0.25">
      <c r="A517">
        <v>19</v>
      </c>
      <c r="B517" t="s">
        <v>14</v>
      </c>
      <c r="C517">
        <v>4.2</v>
      </c>
      <c r="D517" t="str">
        <f t="shared" si="24"/>
        <v>Medium</v>
      </c>
      <c r="E517" t="s">
        <v>18</v>
      </c>
      <c r="F517" s="1">
        <v>8.1</v>
      </c>
      <c r="G517" t="str">
        <f t="shared" si="25"/>
        <v>Normal</v>
      </c>
      <c r="H517">
        <v>1.4</v>
      </c>
      <c r="I517">
        <v>2.66</v>
      </c>
      <c r="J517" s="1">
        <v>1.9</v>
      </c>
      <c r="K517" t="str">
        <f t="shared" si="26"/>
        <v>1-2 hours</v>
      </c>
      <c r="L517" t="s">
        <v>13</v>
      </c>
      <c r="M517">
        <v>9</v>
      </c>
      <c r="N517">
        <v>4</v>
      </c>
      <c r="O517">
        <v>2</v>
      </c>
      <c r="P517">
        <v>0</v>
      </c>
    </row>
    <row r="518" spans="1:16" x14ac:dyDescent="0.25">
      <c r="A518">
        <v>17</v>
      </c>
      <c r="B518" t="s">
        <v>14</v>
      </c>
      <c r="C518">
        <v>1.3</v>
      </c>
      <c r="D518" t="str">
        <f t="shared" si="24"/>
        <v>Low</v>
      </c>
      <c r="E518" t="s">
        <v>12</v>
      </c>
      <c r="F518" s="1">
        <v>5.0999999999999996</v>
      </c>
      <c r="G518" t="str">
        <f t="shared" si="25"/>
        <v>Low</v>
      </c>
      <c r="H518">
        <v>2.2000000000000002</v>
      </c>
      <c r="I518">
        <v>3.44</v>
      </c>
      <c r="J518" s="1">
        <v>0.6</v>
      </c>
      <c r="K518" t="str">
        <f t="shared" si="26"/>
        <v>0-1 hours</v>
      </c>
      <c r="L518" t="s">
        <v>16</v>
      </c>
      <c r="M518">
        <v>7</v>
      </c>
      <c r="N518">
        <v>8</v>
      </c>
      <c r="O518">
        <v>6</v>
      </c>
      <c r="P518">
        <v>0</v>
      </c>
    </row>
    <row r="519" spans="1:16" x14ac:dyDescent="0.25">
      <c r="A519">
        <v>18</v>
      </c>
      <c r="B519" t="s">
        <v>11</v>
      </c>
      <c r="C519">
        <v>2.6</v>
      </c>
      <c r="D519" t="str">
        <f t="shared" si="24"/>
        <v>Medium</v>
      </c>
      <c r="E519" t="s">
        <v>18</v>
      </c>
      <c r="F519" s="1">
        <v>7.8</v>
      </c>
      <c r="G519" t="str">
        <f t="shared" si="25"/>
        <v>Low</v>
      </c>
      <c r="H519">
        <v>1.9</v>
      </c>
      <c r="I519">
        <v>3.15</v>
      </c>
      <c r="J519" s="1">
        <v>0.4</v>
      </c>
      <c r="K519" t="str">
        <f t="shared" si="26"/>
        <v>0-1 hours</v>
      </c>
      <c r="L519" t="s">
        <v>17</v>
      </c>
      <c r="M519">
        <v>8</v>
      </c>
      <c r="N519">
        <v>3</v>
      </c>
      <c r="O519">
        <v>2</v>
      </c>
      <c r="P519">
        <v>0</v>
      </c>
    </row>
    <row r="520" spans="1:16" x14ac:dyDescent="0.25">
      <c r="A520">
        <v>15</v>
      </c>
      <c r="B520" t="s">
        <v>11</v>
      </c>
      <c r="C520">
        <v>6.2</v>
      </c>
      <c r="D520" t="str">
        <f t="shared" si="24"/>
        <v>Medium</v>
      </c>
      <c r="E520" t="s">
        <v>12</v>
      </c>
      <c r="F520" s="1">
        <v>8.1</v>
      </c>
      <c r="G520" t="str">
        <f t="shared" si="25"/>
        <v>Normal</v>
      </c>
      <c r="H520">
        <v>2.2999999999999998</v>
      </c>
      <c r="I520">
        <v>3.46</v>
      </c>
      <c r="J520" s="1">
        <v>1.3</v>
      </c>
      <c r="K520" t="str">
        <f t="shared" si="26"/>
        <v>1-2 hours</v>
      </c>
      <c r="L520" t="s">
        <v>13</v>
      </c>
      <c r="M520">
        <v>5</v>
      </c>
      <c r="N520">
        <v>4</v>
      </c>
      <c r="O520">
        <v>9</v>
      </c>
      <c r="P520">
        <v>0</v>
      </c>
    </row>
    <row r="521" spans="1:16" x14ac:dyDescent="0.25">
      <c r="A521">
        <v>14</v>
      </c>
      <c r="B521" t="s">
        <v>14</v>
      </c>
      <c r="C521">
        <v>6.2</v>
      </c>
      <c r="D521" t="str">
        <f t="shared" si="24"/>
        <v>Medium</v>
      </c>
      <c r="E521" t="s">
        <v>15</v>
      </c>
      <c r="F521" s="1">
        <v>5.0999999999999996</v>
      </c>
      <c r="G521" t="str">
        <f t="shared" si="25"/>
        <v>Low</v>
      </c>
      <c r="H521">
        <v>1.5</v>
      </c>
      <c r="I521">
        <v>3.85</v>
      </c>
      <c r="J521" s="1">
        <v>0.2</v>
      </c>
      <c r="K521" t="str">
        <f t="shared" si="26"/>
        <v>0-1 hours</v>
      </c>
      <c r="L521" t="s">
        <v>16</v>
      </c>
      <c r="M521">
        <v>3</v>
      </c>
      <c r="N521">
        <v>4</v>
      </c>
      <c r="O521">
        <v>10</v>
      </c>
      <c r="P521">
        <v>0</v>
      </c>
    </row>
    <row r="522" spans="1:16" x14ac:dyDescent="0.25">
      <c r="A522">
        <v>18</v>
      </c>
      <c r="B522" t="s">
        <v>11</v>
      </c>
      <c r="C522">
        <v>4.8</v>
      </c>
      <c r="D522" t="str">
        <f t="shared" si="24"/>
        <v>Medium</v>
      </c>
      <c r="E522" t="s">
        <v>15</v>
      </c>
      <c r="F522" s="1">
        <v>8.5</v>
      </c>
      <c r="G522" t="str">
        <f t="shared" si="25"/>
        <v>Normal</v>
      </c>
      <c r="H522">
        <v>2.8</v>
      </c>
      <c r="I522">
        <v>3.77</v>
      </c>
      <c r="J522" s="1">
        <v>1.3</v>
      </c>
      <c r="K522" t="str">
        <f t="shared" si="26"/>
        <v>1-2 hours</v>
      </c>
      <c r="L522" t="s">
        <v>13</v>
      </c>
      <c r="M522">
        <v>5</v>
      </c>
      <c r="N522">
        <v>4</v>
      </c>
      <c r="O522">
        <v>3</v>
      </c>
      <c r="P522">
        <v>0</v>
      </c>
    </row>
    <row r="523" spans="1:16" x14ac:dyDescent="0.25">
      <c r="A523">
        <v>18</v>
      </c>
      <c r="B523" t="s">
        <v>14</v>
      </c>
      <c r="C523">
        <v>3</v>
      </c>
      <c r="D523" t="str">
        <f t="shared" si="24"/>
        <v>Medium</v>
      </c>
      <c r="E523" t="s">
        <v>18</v>
      </c>
      <c r="F523" s="1">
        <v>4.5999999999999996</v>
      </c>
      <c r="G523" t="str">
        <f t="shared" si="25"/>
        <v>Low</v>
      </c>
      <c r="H523">
        <v>2</v>
      </c>
      <c r="I523">
        <v>2.2400000000000002</v>
      </c>
      <c r="J523" s="1">
        <v>1.5</v>
      </c>
      <c r="K523" t="str">
        <f t="shared" si="26"/>
        <v>1-2 hours</v>
      </c>
      <c r="L523" t="s">
        <v>17</v>
      </c>
      <c r="M523">
        <v>10</v>
      </c>
      <c r="N523">
        <v>2</v>
      </c>
      <c r="O523">
        <v>5</v>
      </c>
      <c r="P523">
        <v>0</v>
      </c>
    </row>
    <row r="524" spans="1:16" x14ac:dyDescent="0.25">
      <c r="A524">
        <v>16</v>
      </c>
      <c r="B524" t="s">
        <v>11</v>
      </c>
      <c r="C524">
        <v>4.7</v>
      </c>
      <c r="D524" t="str">
        <f t="shared" si="24"/>
        <v>Medium</v>
      </c>
      <c r="E524" t="s">
        <v>12</v>
      </c>
      <c r="F524" s="1">
        <v>8.1999999999999993</v>
      </c>
      <c r="G524" t="str">
        <f t="shared" si="25"/>
        <v>Normal</v>
      </c>
      <c r="H524">
        <v>2.7</v>
      </c>
      <c r="I524">
        <v>3.04</v>
      </c>
      <c r="J524" s="1">
        <v>0.3</v>
      </c>
      <c r="K524" t="str">
        <f t="shared" si="26"/>
        <v>0-1 hours</v>
      </c>
      <c r="L524" t="s">
        <v>16</v>
      </c>
      <c r="M524">
        <v>1</v>
      </c>
      <c r="N524">
        <v>3</v>
      </c>
      <c r="O524">
        <v>4</v>
      </c>
      <c r="P524">
        <v>0</v>
      </c>
    </row>
    <row r="525" spans="1:16" x14ac:dyDescent="0.25">
      <c r="A525">
        <v>18</v>
      </c>
      <c r="B525" t="s">
        <v>14</v>
      </c>
      <c r="C525">
        <v>4.4000000000000004</v>
      </c>
      <c r="D525" t="str">
        <f t="shared" si="24"/>
        <v>Medium</v>
      </c>
      <c r="E525" t="s">
        <v>18</v>
      </c>
      <c r="F525" s="1">
        <v>5.0999999999999996</v>
      </c>
      <c r="G525" t="str">
        <f t="shared" si="25"/>
        <v>Low</v>
      </c>
      <c r="H525">
        <v>1.4</v>
      </c>
      <c r="I525">
        <v>2.33</v>
      </c>
      <c r="J525" s="1">
        <v>0.6</v>
      </c>
      <c r="K525" t="str">
        <f t="shared" si="26"/>
        <v>0-1 hours</v>
      </c>
      <c r="L525" t="s">
        <v>13</v>
      </c>
      <c r="M525">
        <v>2</v>
      </c>
      <c r="N525">
        <v>7</v>
      </c>
      <c r="O525">
        <v>4</v>
      </c>
      <c r="P525">
        <v>0</v>
      </c>
    </row>
    <row r="526" spans="1:16" x14ac:dyDescent="0.25">
      <c r="A526">
        <v>14</v>
      </c>
      <c r="B526" t="s">
        <v>14</v>
      </c>
      <c r="C526">
        <v>2.2999999999999998</v>
      </c>
      <c r="D526" t="str">
        <f t="shared" si="24"/>
        <v>Medium</v>
      </c>
      <c r="E526" t="s">
        <v>15</v>
      </c>
      <c r="F526" s="1">
        <v>7.3</v>
      </c>
      <c r="G526" t="str">
        <f t="shared" si="25"/>
        <v>Low</v>
      </c>
      <c r="H526">
        <v>2.2999999999999998</v>
      </c>
      <c r="I526">
        <v>2.8</v>
      </c>
      <c r="J526" s="1">
        <v>1.5</v>
      </c>
      <c r="K526" t="str">
        <f t="shared" si="26"/>
        <v>1-2 hours</v>
      </c>
      <c r="L526" t="s">
        <v>17</v>
      </c>
      <c r="M526">
        <v>4</v>
      </c>
      <c r="N526">
        <v>6</v>
      </c>
      <c r="O526">
        <v>5</v>
      </c>
      <c r="P526">
        <v>0</v>
      </c>
    </row>
    <row r="527" spans="1:16" x14ac:dyDescent="0.25">
      <c r="A527">
        <v>14</v>
      </c>
      <c r="B527" t="s">
        <v>14</v>
      </c>
      <c r="C527">
        <v>3.1</v>
      </c>
      <c r="D527" t="str">
        <f t="shared" si="24"/>
        <v>Medium</v>
      </c>
      <c r="E527" t="s">
        <v>12</v>
      </c>
      <c r="F527" s="1">
        <v>6.9</v>
      </c>
      <c r="G527" t="str">
        <f t="shared" si="25"/>
        <v>Low</v>
      </c>
      <c r="H527">
        <v>1.9</v>
      </c>
      <c r="I527">
        <v>2.2000000000000002</v>
      </c>
      <c r="J527" s="1">
        <v>1.2</v>
      </c>
      <c r="K527" t="str">
        <f t="shared" si="26"/>
        <v>1-2 hours</v>
      </c>
      <c r="L527" t="s">
        <v>17</v>
      </c>
      <c r="M527">
        <v>3</v>
      </c>
      <c r="N527">
        <v>4</v>
      </c>
      <c r="O527">
        <v>2</v>
      </c>
      <c r="P527">
        <v>0</v>
      </c>
    </row>
    <row r="528" spans="1:16" x14ac:dyDescent="0.25">
      <c r="A528">
        <v>18</v>
      </c>
      <c r="B528" t="s">
        <v>11</v>
      </c>
      <c r="C528">
        <v>2.9</v>
      </c>
      <c r="D528" t="str">
        <f t="shared" si="24"/>
        <v>Medium</v>
      </c>
      <c r="E528" t="s">
        <v>15</v>
      </c>
      <c r="F528" s="1">
        <v>7.5</v>
      </c>
      <c r="G528" t="str">
        <f t="shared" si="25"/>
        <v>Low</v>
      </c>
      <c r="H528">
        <v>0.6</v>
      </c>
      <c r="I528">
        <v>2.25</v>
      </c>
      <c r="J528" s="1">
        <v>1</v>
      </c>
      <c r="K528" t="str">
        <f t="shared" si="26"/>
        <v>0-1 hours</v>
      </c>
      <c r="L528" t="s">
        <v>16</v>
      </c>
      <c r="M528">
        <v>4</v>
      </c>
      <c r="N528">
        <v>7</v>
      </c>
      <c r="O528">
        <v>4</v>
      </c>
      <c r="P528">
        <v>0</v>
      </c>
    </row>
    <row r="529" spans="1:16" x14ac:dyDescent="0.25">
      <c r="A529">
        <v>13</v>
      </c>
      <c r="B529" t="s">
        <v>11</v>
      </c>
      <c r="C529">
        <v>1.8</v>
      </c>
      <c r="D529" t="str">
        <f t="shared" si="24"/>
        <v>Low</v>
      </c>
      <c r="E529" t="s">
        <v>12</v>
      </c>
      <c r="F529" s="1">
        <v>4.4000000000000004</v>
      </c>
      <c r="G529" t="str">
        <f t="shared" si="25"/>
        <v>Low</v>
      </c>
      <c r="H529">
        <v>0.6</v>
      </c>
      <c r="I529">
        <v>3.48</v>
      </c>
      <c r="J529" s="1">
        <v>1.7</v>
      </c>
      <c r="K529" t="str">
        <f t="shared" si="26"/>
        <v>1-2 hours</v>
      </c>
      <c r="L529" t="s">
        <v>17</v>
      </c>
      <c r="M529">
        <v>3</v>
      </c>
      <c r="N529">
        <v>1</v>
      </c>
      <c r="O529">
        <v>10</v>
      </c>
      <c r="P529">
        <v>0</v>
      </c>
    </row>
    <row r="530" spans="1:16" x14ac:dyDescent="0.25">
      <c r="A530">
        <v>15</v>
      </c>
      <c r="B530" t="s">
        <v>14</v>
      </c>
      <c r="C530">
        <v>2</v>
      </c>
      <c r="D530" t="str">
        <f t="shared" si="24"/>
        <v>Medium</v>
      </c>
      <c r="E530" t="s">
        <v>12</v>
      </c>
      <c r="F530" s="1">
        <v>4.7</v>
      </c>
      <c r="G530" t="str">
        <f t="shared" si="25"/>
        <v>Low</v>
      </c>
      <c r="H530">
        <v>1.3</v>
      </c>
      <c r="I530">
        <v>3.55</v>
      </c>
      <c r="J530" s="1">
        <v>1.3</v>
      </c>
      <c r="K530" t="str">
        <f t="shared" si="26"/>
        <v>1-2 hours</v>
      </c>
      <c r="L530" t="s">
        <v>13</v>
      </c>
      <c r="M530">
        <v>2</v>
      </c>
      <c r="N530">
        <v>6</v>
      </c>
      <c r="O530">
        <v>5</v>
      </c>
      <c r="P530">
        <v>0</v>
      </c>
    </row>
    <row r="531" spans="1:16" x14ac:dyDescent="0.25">
      <c r="A531">
        <v>13</v>
      </c>
      <c r="B531" t="s">
        <v>14</v>
      </c>
      <c r="C531">
        <v>4.2</v>
      </c>
      <c r="D531" t="str">
        <f t="shared" si="24"/>
        <v>Medium</v>
      </c>
      <c r="E531" t="s">
        <v>12</v>
      </c>
      <c r="F531" s="1">
        <v>7.9</v>
      </c>
      <c r="G531" t="str">
        <f t="shared" si="25"/>
        <v>Low</v>
      </c>
      <c r="H531">
        <v>2.7</v>
      </c>
      <c r="I531">
        <v>3.76</v>
      </c>
      <c r="J531" s="1">
        <v>0.1</v>
      </c>
      <c r="K531" t="str">
        <f t="shared" si="26"/>
        <v>0-1 hours</v>
      </c>
      <c r="L531" t="s">
        <v>17</v>
      </c>
      <c r="M531">
        <v>10</v>
      </c>
      <c r="N531">
        <v>7</v>
      </c>
      <c r="O531">
        <v>2</v>
      </c>
      <c r="P531">
        <v>0</v>
      </c>
    </row>
    <row r="532" spans="1:16" x14ac:dyDescent="0.25">
      <c r="A532">
        <v>17</v>
      </c>
      <c r="B532" t="s">
        <v>14</v>
      </c>
      <c r="C532">
        <v>6.7</v>
      </c>
      <c r="D532" t="str">
        <f t="shared" si="24"/>
        <v>Medium</v>
      </c>
      <c r="E532" t="s">
        <v>18</v>
      </c>
      <c r="F532" s="1">
        <v>7.9</v>
      </c>
      <c r="G532" t="str">
        <f t="shared" si="25"/>
        <v>Low</v>
      </c>
      <c r="H532">
        <v>1.4</v>
      </c>
      <c r="I532">
        <v>3.91</v>
      </c>
      <c r="J532" s="1">
        <v>0.4</v>
      </c>
      <c r="K532" t="str">
        <f t="shared" si="26"/>
        <v>0-1 hours</v>
      </c>
      <c r="L532" t="s">
        <v>16</v>
      </c>
      <c r="M532">
        <v>3</v>
      </c>
      <c r="N532">
        <v>3</v>
      </c>
      <c r="O532">
        <v>1</v>
      </c>
      <c r="P532">
        <v>0</v>
      </c>
    </row>
    <row r="533" spans="1:16" x14ac:dyDescent="0.25">
      <c r="A533">
        <v>17</v>
      </c>
      <c r="B533" t="s">
        <v>14</v>
      </c>
      <c r="C533">
        <v>2.2000000000000002</v>
      </c>
      <c r="D533" t="str">
        <f t="shared" si="24"/>
        <v>Medium</v>
      </c>
      <c r="E533" t="s">
        <v>18</v>
      </c>
      <c r="F533" s="1">
        <v>7.2</v>
      </c>
      <c r="G533" t="str">
        <f t="shared" si="25"/>
        <v>Low</v>
      </c>
      <c r="H533">
        <v>0.5</v>
      </c>
      <c r="I533">
        <v>2.38</v>
      </c>
      <c r="J533" s="1">
        <v>1.2</v>
      </c>
      <c r="K533" t="str">
        <f t="shared" si="26"/>
        <v>1-2 hours</v>
      </c>
      <c r="L533" t="s">
        <v>17</v>
      </c>
      <c r="M533">
        <v>10</v>
      </c>
      <c r="N533">
        <v>4</v>
      </c>
      <c r="O533">
        <v>8</v>
      </c>
      <c r="P533">
        <v>0</v>
      </c>
    </row>
    <row r="534" spans="1:16" x14ac:dyDescent="0.25">
      <c r="A534">
        <v>17</v>
      </c>
      <c r="B534" t="s">
        <v>14</v>
      </c>
      <c r="C534">
        <v>1.1000000000000001</v>
      </c>
      <c r="D534" t="str">
        <f t="shared" si="24"/>
        <v>Low</v>
      </c>
      <c r="E534" t="s">
        <v>15</v>
      </c>
      <c r="F534" s="1">
        <v>6.8</v>
      </c>
      <c r="G534" t="str">
        <f t="shared" si="25"/>
        <v>Low</v>
      </c>
      <c r="H534">
        <v>0.6</v>
      </c>
      <c r="I534">
        <v>2.2799999999999998</v>
      </c>
      <c r="J534" s="1">
        <v>1.6</v>
      </c>
      <c r="K534" t="str">
        <f t="shared" si="26"/>
        <v>1-2 hours</v>
      </c>
      <c r="L534" t="s">
        <v>17</v>
      </c>
      <c r="M534">
        <v>9</v>
      </c>
      <c r="N534">
        <v>3</v>
      </c>
      <c r="O534">
        <v>7</v>
      </c>
      <c r="P534">
        <v>0</v>
      </c>
    </row>
    <row r="535" spans="1:16" x14ac:dyDescent="0.25">
      <c r="A535">
        <v>16</v>
      </c>
      <c r="B535" t="s">
        <v>14</v>
      </c>
      <c r="C535">
        <v>6.4</v>
      </c>
      <c r="D535" t="str">
        <f t="shared" si="24"/>
        <v>Medium</v>
      </c>
      <c r="E535" t="s">
        <v>15</v>
      </c>
      <c r="F535" s="1">
        <v>5.9</v>
      </c>
      <c r="G535" t="str">
        <f t="shared" si="25"/>
        <v>Low</v>
      </c>
      <c r="H535">
        <v>2.8</v>
      </c>
      <c r="I535">
        <v>3.81</v>
      </c>
      <c r="J535" s="1">
        <v>1.3</v>
      </c>
      <c r="K535" t="str">
        <f t="shared" si="26"/>
        <v>1-2 hours</v>
      </c>
      <c r="L535" t="s">
        <v>16</v>
      </c>
      <c r="M535">
        <v>1</v>
      </c>
      <c r="N535">
        <v>3</v>
      </c>
      <c r="O535">
        <v>7</v>
      </c>
      <c r="P535">
        <v>0</v>
      </c>
    </row>
    <row r="536" spans="1:16" x14ac:dyDescent="0.25">
      <c r="A536">
        <v>19</v>
      </c>
      <c r="B536" t="s">
        <v>14</v>
      </c>
      <c r="C536">
        <v>2.8</v>
      </c>
      <c r="D536" t="str">
        <f t="shared" si="24"/>
        <v>Medium</v>
      </c>
      <c r="E536" t="s">
        <v>12</v>
      </c>
      <c r="F536" s="1">
        <v>5.9</v>
      </c>
      <c r="G536" t="str">
        <f t="shared" si="25"/>
        <v>Low</v>
      </c>
      <c r="H536">
        <v>1.5</v>
      </c>
      <c r="I536">
        <v>2.85</v>
      </c>
      <c r="J536" s="1">
        <v>0.6</v>
      </c>
      <c r="K536" t="str">
        <f t="shared" si="26"/>
        <v>0-1 hours</v>
      </c>
      <c r="L536" t="s">
        <v>16</v>
      </c>
      <c r="M536">
        <v>10</v>
      </c>
      <c r="N536">
        <v>9</v>
      </c>
      <c r="O536">
        <v>4</v>
      </c>
      <c r="P536">
        <v>0</v>
      </c>
    </row>
    <row r="537" spans="1:16" x14ac:dyDescent="0.25">
      <c r="A537">
        <v>13</v>
      </c>
      <c r="B537" t="s">
        <v>11</v>
      </c>
      <c r="C537">
        <v>2.2000000000000002</v>
      </c>
      <c r="D537" t="str">
        <f t="shared" si="24"/>
        <v>Medium</v>
      </c>
      <c r="E537" t="s">
        <v>18</v>
      </c>
      <c r="F537" s="1">
        <v>5.8</v>
      </c>
      <c r="G537" t="str">
        <f t="shared" si="25"/>
        <v>Low</v>
      </c>
      <c r="H537">
        <v>2</v>
      </c>
      <c r="I537">
        <v>3.63</v>
      </c>
      <c r="J537" s="1">
        <v>1.9</v>
      </c>
      <c r="K537" t="str">
        <f t="shared" si="26"/>
        <v>1-2 hours</v>
      </c>
      <c r="L537" t="s">
        <v>13</v>
      </c>
      <c r="M537">
        <v>4</v>
      </c>
      <c r="N537">
        <v>4</v>
      </c>
      <c r="O537">
        <v>10</v>
      </c>
      <c r="P537">
        <v>0</v>
      </c>
    </row>
    <row r="538" spans="1:16" x14ac:dyDescent="0.25">
      <c r="A538">
        <v>19</v>
      </c>
      <c r="B538" t="s">
        <v>11</v>
      </c>
      <c r="C538">
        <v>5.7</v>
      </c>
      <c r="D538" t="str">
        <f t="shared" si="24"/>
        <v>Medium</v>
      </c>
      <c r="E538" t="s">
        <v>12</v>
      </c>
      <c r="F538" s="1">
        <v>4.8</v>
      </c>
      <c r="G538" t="str">
        <f t="shared" si="25"/>
        <v>Low</v>
      </c>
      <c r="H538">
        <v>2.2000000000000002</v>
      </c>
      <c r="I538">
        <v>3.66</v>
      </c>
      <c r="J538" s="1">
        <v>0.9</v>
      </c>
      <c r="K538" t="str">
        <f t="shared" si="26"/>
        <v>0-1 hours</v>
      </c>
      <c r="L538" t="s">
        <v>13</v>
      </c>
      <c r="M538">
        <v>3</v>
      </c>
      <c r="N538">
        <v>7</v>
      </c>
      <c r="O538">
        <v>5</v>
      </c>
      <c r="P538">
        <v>0</v>
      </c>
    </row>
    <row r="539" spans="1:16" x14ac:dyDescent="0.25">
      <c r="A539">
        <v>15</v>
      </c>
      <c r="B539" t="s">
        <v>11</v>
      </c>
      <c r="C539">
        <v>5.3</v>
      </c>
      <c r="D539" t="str">
        <f t="shared" si="24"/>
        <v>Medium</v>
      </c>
      <c r="E539" t="s">
        <v>18</v>
      </c>
      <c r="F539" s="1">
        <v>7.3</v>
      </c>
      <c r="G539" t="str">
        <f t="shared" si="25"/>
        <v>Low</v>
      </c>
      <c r="H539">
        <v>1.9</v>
      </c>
      <c r="I539">
        <v>2.5099999999999998</v>
      </c>
      <c r="J539" s="1">
        <v>1.4</v>
      </c>
      <c r="K539" t="str">
        <f t="shared" si="26"/>
        <v>1-2 hours</v>
      </c>
      <c r="L539" t="s">
        <v>16</v>
      </c>
      <c r="M539">
        <v>10</v>
      </c>
      <c r="N539">
        <v>4</v>
      </c>
      <c r="O539">
        <v>2</v>
      </c>
      <c r="P539">
        <v>0</v>
      </c>
    </row>
    <row r="540" spans="1:16" x14ac:dyDescent="0.25">
      <c r="A540">
        <v>14</v>
      </c>
      <c r="B540" t="s">
        <v>11</v>
      </c>
      <c r="C540">
        <v>3.1</v>
      </c>
      <c r="D540" t="str">
        <f t="shared" si="24"/>
        <v>Medium</v>
      </c>
      <c r="E540" t="s">
        <v>15</v>
      </c>
      <c r="F540" s="1">
        <v>8.8000000000000007</v>
      </c>
      <c r="G540" t="str">
        <f t="shared" si="25"/>
        <v>Normal</v>
      </c>
      <c r="H540">
        <v>1.5</v>
      </c>
      <c r="I540">
        <v>3.91</v>
      </c>
      <c r="J540" s="1">
        <v>0.6</v>
      </c>
      <c r="K540" t="str">
        <f t="shared" si="26"/>
        <v>0-1 hours</v>
      </c>
      <c r="L540" t="s">
        <v>17</v>
      </c>
      <c r="M540">
        <v>4</v>
      </c>
      <c r="N540">
        <v>9</v>
      </c>
      <c r="O540">
        <v>6</v>
      </c>
      <c r="P540">
        <v>0</v>
      </c>
    </row>
    <row r="541" spans="1:16" x14ac:dyDescent="0.25">
      <c r="A541">
        <v>16</v>
      </c>
      <c r="B541" t="s">
        <v>11</v>
      </c>
      <c r="C541">
        <v>1.7</v>
      </c>
      <c r="D541" t="str">
        <f t="shared" si="24"/>
        <v>Low</v>
      </c>
      <c r="E541" t="s">
        <v>15</v>
      </c>
      <c r="F541" s="1">
        <v>4.9000000000000004</v>
      </c>
      <c r="G541" t="str">
        <f t="shared" si="25"/>
        <v>Low</v>
      </c>
      <c r="H541">
        <v>0.6</v>
      </c>
      <c r="I541">
        <v>3.38</v>
      </c>
      <c r="J541" s="1">
        <v>1.1000000000000001</v>
      </c>
      <c r="K541" t="str">
        <f t="shared" si="26"/>
        <v>1-2 hours</v>
      </c>
      <c r="L541" t="s">
        <v>17</v>
      </c>
      <c r="M541">
        <v>10</v>
      </c>
      <c r="N541">
        <v>4</v>
      </c>
      <c r="O541">
        <v>6</v>
      </c>
      <c r="P541">
        <v>0</v>
      </c>
    </row>
    <row r="542" spans="1:16" x14ac:dyDescent="0.25">
      <c r="A542">
        <v>19</v>
      </c>
      <c r="B542" t="s">
        <v>14</v>
      </c>
      <c r="C542">
        <v>6.7</v>
      </c>
      <c r="D542" t="str">
        <f t="shared" si="24"/>
        <v>Medium</v>
      </c>
      <c r="E542" t="s">
        <v>12</v>
      </c>
      <c r="F542" s="1">
        <v>7.3</v>
      </c>
      <c r="G542" t="str">
        <f t="shared" si="25"/>
        <v>Low</v>
      </c>
      <c r="H542">
        <v>2.8</v>
      </c>
      <c r="I542">
        <v>2.2599999999999998</v>
      </c>
      <c r="J542" s="1">
        <v>1.4</v>
      </c>
      <c r="K542" t="str">
        <f t="shared" si="26"/>
        <v>1-2 hours</v>
      </c>
      <c r="L542" t="s">
        <v>16</v>
      </c>
      <c r="M542">
        <v>7</v>
      </c>
      <c r="N542">
        <v>6</v>
      </c>
      <c r="O542">
        <v>8</v>
      </c>
      <c r="P542">
        <v>0</v>
      </c>
    </row>
    <row r="543" spans="1:16" x14ac:dyDescent="0.25">
      <c r="A543">
        <v>13</v>
      </c>
      <c r="B543" t="s">
        <v>14</v>
      </c>
      <c r="C543">
        <v>7.8</v>
      </c>
      <c r="D543" t="str">
        <f t="shared" si="24"/>
        <v>High</v>
      </c>
      <c r="E543" t="s">
        <v>12</v>
      </c>
      <c r="F543" s="1">
        <v>7.4</v>
      </c>
      <c r="G543" t="str">
        <f t="shared" si="25"/>
        <v>Low</v>
      </c>
      <c r="H543">
        <v>1.7</v>
      </c>
      <c r="I543">
        <v>2.76</v>
      </c>
      <c r="J543" s="1">
        <v>1.1000000000000001</v>
      </c>
      <c r="K543" t="str">
        <f t="shared" si="26"/>
        <v>1-2 hours</v>
      </c>
      <c r="L543" t="s">
        <v>13</v>
      </c>
      <c r="M543">
        <v>10</v>
      </c>
      <c r="N543">
        <v>1</v>
      </c>
      <c r="O543">
        <v>4</v>
      </c>
      <c r="P543">
        <v>0</v>
      </c>
    </row>
    <row r="544" spans="1:16" x14ac:dyDescent="0.25">
      <c r="A544">
        <v>18</v>
      </c>
      <c r="B544" t="s">
        <v>14</v>
      </c>
      <c r="C544">
        <v>2.1</v>
      </c>
      <c r="D544" t="str">
        <f t="shared" si="24"/>
        <v>Medium</v>
      </c>
      <c r="E544" t="s">
        <v>18</v>
      </c>
      <c r="F544" s="1">
        <v>6.7</v>
      </c>
      <c r="G544" t="str">
        <f t="shared" si="25"/>
        <v>Low</v>
      </c>
      <c r="H544">
        <v>0.9</v>
      </c>
      <c r="I544">
        <v>3.73</v>
      </c>
      <c r="J544" s="1">
        <v>0.7</v>
      </c>
      <c r="K544" t="str">
        <f t="shared" si="26"/>
        <v>0-1 hours</v>
      </c>
      <c r="L544" t="s">
        <v>13</v>
      </c>
      <c r="M544">
        <v>3</v>
      </c>
      <c r="N544">
        <v>5</v>
      </c>
      <c r="O544">
        <v>7</v>
      </c>
      <c r="P544">
        <v>0</v>
      </c>
    </row>
    <row r="545" spans="1:16" x14ac:dyDescent="0.25">
      <c r="A545">
        <v>17</v>
      </c>
      <c r="B545" t="s">
        <v>14</v>
      </c>
      <c r="C545">
        <v>5.0999999999999996</v>
      </c>
      <c r="D545" t="str">
        <f t="shared" si="24"/>
        <v>Medium</v>
      </c>
      <c r="E545" t="s">
        <v>15</v>
      </c>
      <c r="F545" s="1">
        <v>8.6</v>
      </c>
      <c r="G545" t="str">
        <f t="shared" si="25"/>
        <v>Normal</v>
      </c>
      <c r="H545">
        <v>1.9</v>
      </c>
      <c r="I545">
        <v>3.33</v>
      </c>
      <c r="J545" s="1">
        <v>1.1000000000000001</v>
      </c>
      <c r="K545" t="str">
        <f t="shared" si="26"/>
        <v>1-2 hours</v>
      </c>
      <c r="L545" t="s">
        <v>13</v>
      </c>
      <c r="M545">
        <v>1</v>
      </c>
      <c r="N545">
        <v>7</v>
      </c>
      <c r="O545">
        <v>8</v>
      </c>
      <c r="P545">
        <v>0</v>
      </c>
    </row>
    <row r="546" spans="1:16" x14ac:dyDescent="0.25">
      <c r="A546">
        <v>18</v>
      </c>
      <c r="B546" t="s">
        <v>14</v>
      </c>
      <c r="C546">
        <v>3.6</v>
      </c>
      <c r="D546" t="str">
        <f t="shared" si="24"/>
        <v>Medium</v>
      </c>
      <c r="E546" t="s">
        <v>12</v>
      </c>
      <c r="F546" s="1">
        <v>5.4</v>
      </c>
      <c r="G546" t="str">
        <f t="shared" si="25"/>
        <v>Low</v>
      </c>
      <c r="H546">
        <v>0.9</v>
      </c>
      <c r="I546">
        <v>3.45</v>
      </c>
      <c r="J546" s="1">
        <v>0.5</v>
      </c>
      <c r="K546" t="str">
        <f t="shared" si="26"/>
        <v>0-1 hours</v>
      </c>
      <c r="L546" t="s">
        <v>17</v>
      </c>
      <c r="M546">
        <v>1</v>
      </c>
      <c r="N546">
        <v>10</v>
      </c>
      <c r="O546">
        <v>2</v>
      </c>
      <c r="P546">
        <v>0</v>
      </c>
    </row>
    <row r="547" spans="1:16" x14ac:dyDescent="0.25">
      <c r="A547">
        <v>18</v>
      </c>
      <c r="B547" t="s">
        <v>11</v>
      </c>
      <c r="C547">
        <v>5</v>
      </c>
      <c r="D547" t="str">
        <f t="shared" si="24"/>
        <v>Medium</v>
      </c>
      <c r="E547" t="s">
        <v>18</v>
      </c>
      <c r="F547" s="1">
        <v>7.6</v>
      </c>
      <c r="G547" t="str">
        <f t="shared" si="25"/>
        <v>Low</v>
      </c>
      <c r="H547">
        <v>2</v>
      </c>
      <c r="I547">
        <v>3.94</v>
      </c>
      <c r="J547" s="1">
        <v>0.5</v>
      </c>
      <c r="K547" t="str">
        <f t="shared" si="26"/>
        <v>0-1 hours</v>
      </c>
      <c r="L547" t="s">
        <v>13</v>
      </c>
      <c r="M547">
        <v>4</v>
      </c>
      <c r="N547">
        <v>3</v>
      </c>
      <c r="O547">
        <v>3</v>
      </c>
      <c r="P547">
        <v>0</v>
      </c>
    </row>
    <row r="548" spans="1:16" x14ac:dyDescent="0.25">
      <c r="A548">
        <v>17</v>
      </c>
      <c r="B548" t="s">
        <v>11</v>
      </c>
      <c r="C548">
        <v>1.7</v>
      </c>
      <c r="D548" t="str">
        <f t="shared" si="24"/>
        <v>Low</v>
      </c>
      <c r="E548" t="s">
        <v>18</v>
      </c>
      <c r="F548" s="1">
        <v>8.6</v>
      </c>
      <c r="G548" t="str">
        <f t="shared" si="25"/>
        <v>Normal</v>
      </c>
      <c r="H548">
        <v>0.9</v>
      </c>
      <c r="I548">
        <v>2.36</v>
      </c>
      <c r="J548" s="1">
        <v>1.7</v>
      </c>
      <c r="K548" t="str">
        <f t="shared" si="26"/>
        <v>1-2 hours</v>
      </c>
      <c r="L548" t="s">
        <v>13</v>
      </c>
      <c r="M548">
        <v>9</v>
      </c>
      <c r="N548">
        <v>1</v>
      </c>
      <c r="O548">
        <v>3</v>
      </c>
      <c r="P548">
        <v>0</v>
      </c>
    </row>
    <row r="549" spans="1:16" x14ac:dyDescent="0.25">
      <c r="A549">
        <v>17</v>
      </c>
      <c r="B549" t="s">
        <v>11</v>
      </c>
      <c r="C549">
        <v>6.8</v>
      </c>
      <c r="D549" t="str">
        <f t="shared" si="24"/>
        <v>Medium</v>
      </c>
      <c r="E549" t="s">
        <v>12</v>
      </c>
      <c r="F549" s="1">
        <v>4.7</v>
      </c>
      <c r="G549" t="str">
        <f t="shared" si="25"/>
        <v>Low</v>
      </c>
      <c r="H549">
        <v>0.6</v>
      </c>
      <c r="I549">
        <v>3.4</v>
      </c>
      <c r="J549" s="1">
        <v>0.9</v>
      </c>
      <c r="K549" t="str">
        <f t="shared" si="26"/>
        <v>0-1 hours</v>
      </c>
      <c r="L549" t="s">
        <v>13</v>
      </c>
      <c r="M549">
        <v>3</v>
      </c>
      <c r="N549">
        <v>9</v>
      </c>
      <c r="O549">
        <v>7</v>
      </c>
      <c r="P549">
        <v>0</v>
      </c>
    </row>
    <row r="550" spans="1:16" x14ac:dyDescent="0.25">
      <c r="A550">
        <v>14</v>
      </c>
      <c r="B550" t="s">
        <v>11</v>
      </c>
      <c r="C550">
        <v>3.8</v>
      </c>
      <c r="D550" t="str">
        <f t="shared" si="24"/>
        <v>Medium</v>
      </c>
      <c r="E550" t="s">
        <v>18</v>
      </c>
      <c r="F550" s="1">
        <v>7.5</v>
      </c>
      <c r="G550" t="str">
        <f t="shared" si="25"/>
        <v>Low</v>
      </c>
      <c r="H550">
        <v>0.5</v>
      </c>
      <c r="I550">
        <v>2.1800000000000002</v>
      </c>
      <c r="J550" s="1">
        <v>1</v>
      </c>
      <c r="K550" t="str">
        <f t="shared" si="26"/>
        <v>0-1 hours</v>
      </c>
      <c r="L550" t="s">
        <v>17</v>
      </c>
      <c r="M550">
        <v>5</v>
      </c>
      <c r="N550">
        <v>2</v>
      </c>
      <c r="O550">
        <v>2</v>
      </c>
      <c r="P550">
        <v>0</v>
      </c>
    </row>
    <row r="551" spans="1:16" x14ac:dyDescent="0.25">
      <c r="A551">
        <v>16</v>
      </c>
      <c r="B551" t="s">
        <v>11</v>
      </c>
      <c r="C551">
        <v>2.1</v>
      </c>
      <c r="D551" t="str">
        <f t="shared" si="24"/>
        <v>Medium</v>
      </c>
      <c r="E551" t="s">
        <v>12</v>
      </c>
      <c r="F551" s="1">
        <v>7.7</v>
      </c>
      <c r="G551" t="str">
        <f t="shared" si="25"/>
        <v>Low</v>
      </c>
      <c r="H551">
        <v>1.1000000000000001</v>
      </c>
      <c r="I551">
        <v>2.27</v>
      </c>
      <c r="J551" s="1">
        <v>1.1000000000000001</v>
      </c>
      <c r="K551" t="str">
        <f t="shared" si="26"/>
        <v>1-2 hours</v>
      </c>
      <c r="L551" t="s">
        <v>17</v>
      </c>
      <c r="M551">
        <v>3</v>
      </c>
      <c r="N551">
        <v>2</v>
      </c>
      <c r="O551">
        <v>4</v>
      </c>
      <c r="P551">
        <v>0</v>
      </c>
    </row>
    <row r="552" spans="1:16" x14ac:dyDescent="0.25">
      <c r="A552">
        <v>15</v>
      </c>
      <c r="B552" t="s">
        <v>14</v>
      </c>
      <c r="C552">
        <v>3.2</v>
      </c>
      <c r="D552" t="str">
        <f t="shared" si="24"/>
        <v>Medium</v>
      </c>
      <c r="E552" t="s">
        <v>12</v>
      </c>
      <c r="F552" s="1">
        <v>4</v>
      </c>
      <c r="G552" t="str">
        <f t="shared" si="25"/>
        <v>Low</v>
      </c>
      <c r="H552">
        <v>2</v>
      </c>
      <c r="I552">
        <v>3.25</v>
      </c>
      <c r="J552" s="1">
        <v>0.7</v>
      </c>
      <c r="K552" t="str">
        <f t="shared" si="26"/>
        <v>0-1 hours</v>
      </c>
      <c r="L552" t="s">
        <v>13</v>
      </c>
      <c r="M552">
        <v>8</v>
      </c>
      <c r="N552">
        <v>4</v>
      </c>
      <c r="O552">
        <v>8</v>
      </c>
      <c r="P552">
        <v>0</v>
      </c>
    </row>
    <row r="553" spans="1:16" x14ac:dyDescent="0.25">
      <c r="A553">
        <v>18</v>
      </c>
      <c r="B553" t="s">
        <v>11</v>
      </c>
      <c r="C553">
        <v>1.9</v>
      </c>
      <c r="D553" t="str">
        <f t="shared" si="24"/>
        <v>Low</v>
      </c>
      <c r="E553" t="s">
        <v>12</v>
      </c>
      <c r="F553" s="1">
        <v>5.6</v>
      </c>
      <c r="G553" t="str">
        <f t="shared" si="25"/>
        <v>Low</v>
      </c>
      <c r="H553">
        <v>2.2999999999999998</v>
      </c>
      <c r="I553">
        <v>2.8</v>
      </c>
      <c r="J553" s="1">
        <v>1.9</v>
      </c>
      <c r="K553" t="str">
        <f t="shared" si="26"/>
        <v>1-2 hours</v>
      </c>
      <c r="L553" t="s">
        <v>17</v>
      </c>
      <c r="M553">
        <v>8</v>
      </c>
      <c r="N553">
        <v>1</v>
      </c>
      <c r="O553">
        <v>8</v>
      </c>
      <c r="P553">
        <v>0</v>
      </c>
    </row>
    <row r="554" spans="1:16" x14ac:dyDescent="0.25">
      <c r="A554">
        <v>13</v>
      </c>
      <c r="B554" t="s">
        <v>14</v>
      </c>
      <c r="C554">
        <v>3.5</v>
      </c>
      <c r="D554" t="str">
        <f t="shared" si="24"/>
        <v>Medium</v>
      </c>
      <c r="E554" t="s">
        <v>12</v>
      </c>
      <c r="F554" s="1">
        <v>6.8</v>
      </c>
      <c r="G554" t="str">
        <f t="shared" si="25"/>
        <v>Low</v>
      </c>
      <c r="H554">
        <v>1.5</v>
      </c>
      <c r="I554">
        <v>2.35</v>
      </c>
      <c r="J554" s="1">
        <v>1.8</v>
      </c>
      <c r="K554" t="str">
        <f t="shared" si="26"/>
        <v>1-2 hours</v>
      </c>
      <c r="L554" t="s">
        <v>17</v>
      </c>
      <c r="M554">
        <v>7</v>
      </c>
      <c r="N554">
        <v>3</v>
      </c>
      <c r="O554">
        <v>2</v>
      </c>
      <c r="P554">
        <v>0</v>
      </c>
    </row>
    <row r="555" spans="1:16" x14ac:dyDescent="0.25">
      <c r="A555">
        <v>15</v>
      </c>
      <c r="B555" t="s">
        <v>14</v>
      </c>
      <c r="C555">
        <v>4.5</v>
      </c>
      <c r="D555" t="str">
        <f t="shared" si="24"/>
        <v>Medium</v>
      </c>
      <c r="E555" t="s">
        <v>12</v>
      </c>
      <c r="F555" s="1">
        <v>7.7</v>
      </c>
      <c r="G555" t="str">
        <f t="shared" si="25"/>
        <v>Low</v>
      </c>
      <c r="H555">
        <v>0.9</v>
      </c>
      <c r="I555">
        <v>2.61</v>
      </c>
      <c r="J555" s="1">
        <v>1.1000000000000001</v>
      </c>
      <c r="K555" t="str">
        <f t="shared" si="26"/>
        <v>1-2 hours</v>
      </c>
      <c r="L555" t="s">
        <v>17</v>
      </c>
      <c r="M555">
        <v>9</v>
      </c>
      <c r="N555">
        <v>10</v>
      </c>
      <c r="O555">
        <v>4</v>
      </c>
      <c r="P555">
        <v>0</v>
      </c>
    </row>
    <row r="556" spans="1:16" x14ac:dyDescent="0.25">
      <c r="A556">
        <v>13</v>
      </c>
      <c r="B556" t="s">
        <v>14</v>
      </c>
      <c r="C556">
        <v>6</v>
      </c>
      <c r="D556" t="str">
        <f t="shared" si="24"/>
        <v>Medium</v>
      </c>
      <c r="E556" t="s">
        <v>15</v>
      </c>
      <c r="F556" s="1">
        <v>5</v>
      </c>
      <c r="G556" t="str">
        <f t="shared" si="25"/>
        <v>Low</v>
      </c>
      <c r="H556">
        <v>2.5</v>
      </c>
      <c r="I556">
        <v>2.5499999999999998</v>
      </c>
      <c r="J556" s="1">
        <v>1.8</v>
      </c>
      <c r="K556" t="str">
        <f t="shared" si="26"/>
        <v>1-2 hours</v>
      </c>
      <c r="L556" t="s">
        <v>16</v>
      </c>
      <c r="M556">
        <v>4</v>
      </c>
      <c r="N556">
        <v>9</v>
      </c>
      <c r="O556">
        <v>2</v>
      </c>
      <c r="P556">
        <v>0</v>
      </c>
    </row>
    <row r="557" spans="1:16" x14ac:dyDescent="0.25">
      <c r="A557">
        <v>13</v>
      </c>
      <c r="B557" t="s">
        <v>14</v>
      </c>
      <c r="C557">
        <v>3.6</v>
      </c>
      <c r="D557" t="str">
        <f t="shared" si="24"/>
        <v>Medium</v>
      </c>
      <c r="E557" t="s">
        <v>15</v>
      </c>
      <c r="F557" s="1">
        <v>4.8</v>
      </c>
      <c r="G557" t="str">
        <f t="shared" si="25"/>
        <v>Low</v>
      </c>
      <c r="H557">
        <v>2.2000000000000002</v>
      </c>
      <c r="I557">
        <v>3.58</v>
      </c>
      <c r="J557" s="1">
        <v>1.2</v>
      </c>
      <c r="K557" t="str">
        <f t="shared" si="26"/>
        <v>1-2 hours</v>
      </c>
      <c r="L557" t="s">
        <v>17</v>
      </c>
      <c r="M557">
        <v>4</v>
      </c>
      <c r="N557">
        <v>4</v>
      </c>
      <c r="O557">
        <v>7</v>
      </c>
      <c r="P557">
        <v>0</v>
      </c>
    </row>
    <row r="558" spans="1:16" x14ac:dyDescent="0.25">
      <c r="A558">
        <v>19</v>
      </c>
      <c r="B558" t="s">
        <v>11</v>
      </c>
      <c r="C558">
        <v>5.2</v>
      </c>
      <c r="D558" t="str">
        <f t="shared" si="24"/>
        <v>Medium</v>
      </c>
      <c r="E558" t="s">
        <v>15</v>
      </c>
      <c r="F558" s="1">
        <v>6.9</v>
      </c>
      <c r="G558" t="str">
        <f t="shared" si="25"/>
        <v>Low</v>
      </c>
      <c r="H558">
        <v>2.2999999999999998</v>
      </c>
      <c r="I558">
        <v>2.09</v>
      </c>
      <c r="J558" s="1">
        <v>0.2</v>
      </c>
      <c r="K558" t="str">
        <f t="shared" si="26"/>
        <v>0-1 hours</v>
      </c>
      <c r="L558" t="s">
        <v>16</v>
      </c>
      <c r="M558">
        <v>6</v>
      </c>
      <c r="N558">
        <v>4</v>
      </c>
      <c r="O558">
        <v>8</v>
      </c>
      <c r="P558">
        <v>0</v>
      </c>
    </row>
    <row r="559" spans="1:16" x14ac:dyDescent="0.25">
      <c r="A559">
        <v>13</v>
      </c>
      <c r="B559" t="s">
        <v>11</v>
      </c>
      <c r="C559">
        <v>2.7</v>
      </c>
      <c r="D559" t="str">
        <f t="shared" si="24"/>
        <v>Medium</v>
      </c>
      <c r="E559" t="s">
        <v>18</v>
      </c>
      <c r="F559" s="1">
        <v>6.9</v>
      </c>
      <c r="G559" t="str">
        <f t="shared" si="25"/>
        <v>Low</v>
      </c>
      <c r="H559">
        <v>1.4</v>
      </c>
      <c r="I559">
        <v>2.87</v>
      </c>
      <c r="J559" s="1">
        <v>1.5</v>
      </c>
      <c r="K559" t="str">
        <f t="shared" si="26"/>
        <v>1-2 hours</v>
      </c>
      <c r="L559" t="s">
        <v>13</v>
      </c>
      <c r="M559">
        <v>2</v>
      </c>
      <c r="N559">
        <v>6</v>
      </c>
      <c r="O559">
        <v>3</v>
      </c>
      <c r="P559">
        <v>0</v>
      </c>
    </row>
    <row r="560" spans="1:16" x14ac:dyDescent="0.25">
      <c r="A560">
        <v>16</v>
      </c>
      <c r="B560" t="s">
        <v>14</v>
      </c>
      <c r="C560">
        <v>2.8</v>
      </c>
      <c r="D560" t="str">
        <f t="shared" si="24"/>
        <v>Medium</v>
      </c>
      <c r="E560" t="s">
        <v>15</v>
      </c>
      <c r="F560" s="1">
        <v>7.1</v>
      </c>
      <c r="G560" t="str">
        <f t="shared" si="25"/>
        <v>Low</v>
      </c>
      <c r="H560">
        <v>1.4</v>
      </c>
      <c r="I560">
        <v>3.85</v>
      </c>
      <c r="J560" s="1">
        <v>0.4</v>
      </c>
      <c r="K560" t="str">
        <f t="shared" si="26"/>
        <v>0-1 hours</v>
      </c>
      <c r="L560" t="s">
        <v>16</v>
      </c>
      <c r="M560">
        <v>7</v>
      </c>
      <c r="N560">
        <v>9</v>
      </c>
      <c r="O560">
        <v>8</v>
      </c>
      <c r="P560">
        <v>0</v>
      </c>
    </row>
    <row r="561" spans="1:16" x14ac:dyDescent="0.25">
      <c r="A561">
        <v>14</v>
      </c>
      <c r="B561" t="s">
        <v>11</v>
      </c>
      <c r="C561">
        <v>5.6</v>
      </c>
      <c r="D561" t="str">
        <f t="shared" si="24"/>
        <v>Medium</v>
      </c>
      <c r="E561" t="s">
        <v>12</v>
      </c>
      <c r="F561" s="1">
        <v>7</v>
      </c>
      <c r="G561" t="str">
        <f t="shared" si="25"/>
        <v>Low</v>
      </c>
      <c r="H561">
        <v>1.9</v>
      </c>
      <c r="I561">
        <v>2.58</v>
      </c>
      <c r="J561" s="1">
        <v>0.4</v>
      </c>
      <c r="K561" t="str">
        <f t="shared" si="26"/>
        <v>0-1 hours</v>
      </c>
      <c r="L561" t="s">
        <v>13</v>
      </c>
      <c r="M561">
        <v>5</v>
      </c>
      <c r="N561">
        <v>7</v>
      </c>
      <c r="O561">
        <v>3</v>
      </c>
      <c r="P561">
        <v>0</v>
      </c>
    </row>
    <row r="562" spans="1:16" x14ac:dyDescent="0.25">
      <c r="A562">
        <v>16</v>
      </c>
      <c r="B562" t="s">
        <v>11</v>
      </c>
      <c r="C562">
        <v>2.7</v>
      </c>
      <c r="D562" t="str">
        <f t="shared" si="24"/>
        <v>Medium</v>
      </c>
      <c r="E562" t="s">
        <v>18</v>
      </c>
      <c r="F562" s="1">
        <v>7.2</v>
      </c>
      <c r="G562" t="str">
        <f t="shared" si="25"/>
        <v>Low</v>
      </c>
      <c r="H562">
        <v>0.6</v>
      </c>
      <c r="I562">
        <v>3.98</v>
      </c>
      <c r="J562" s="1">
        <v>1.7</v>
      </c>
      <c r="K562" t="str">
        <f t="shared" si="26"/>
        <v>1-2 hours</v>
      </c>
      <c r="L562" t="s">
        <v>13</v>
      </c>
      <c r="M562">
        <v>6</v>
      </c>
      <c r="N562">
        <v>1</v>
      </c>
      <c r="O562">
        <v>5</v>
      </c>
      <c r="P562">
        <v>0</v>
      </c>
    </row>
    <row r="563" spans="1:16" x14ac:dyDescent="0.25">
      <c r="A563">
        <v>14</v>
      </c>
      <c r="B563" t="s">
        <v>11</v>
      </c>
      <c r="C563">
        <v>4.2</v>
      </c>
      <c r="D563" t="str">
        <f t="shared" si="24"/>
        <v>Medium</v>
      </c>
      <c r="E563" t="s">
        <v>18</v>
      </c>
      <c r="F563" s="1">
        <v>7</v>
      </c>
      <c r="G563" t="str">
        <f t="shared" si="25"/>
        <v>Low</v>
      </c>
      <c r="H563">
        <v>1.1000000000000001</v>
      </c>
      <c r="I563">
        <v>2.12</v>
      </c>
      <c r="J563" s="1">
        <v>0.9</v>
      </c>
      <c r="K563" t="str">
        <f t="shared" si="26"/>
        <v>0-1 hours</v>
      </c>
      <c r="L563" t="s">
        <v>16</v>
      </c>
      <c r="M563">
        <v>4</v>
      </c>
      <c r="N563">
        <v>8</v>
      </c>
      <c r="O563">
        <v>1</v>
      </c>
      <c r="P563">
        <v>0</v>
      </c>
    </row>
    <row r="564" spans="1:16" x14ac:dyDescent="0.25">
      <c r="A564">
        <v>18</v>
      </c>
      <c r="B564" t="s">
        <v>14</v>
      </c>
      <c r="C564">
        <v>5.0999999999999996</v>
      </c>
      <c r="D564" t="str">
        <f t="shared" si="24"/>
        <v>Medium</v>
      </c>
      <c r="E564" t="s">
        <v>15</v>
      </c>
      <c r="F564" s="1">
        <v>8.1999999999999993</v>
      </c>
      <c r="G564" t="str">
        <f t="shared" si="25"/>
        <v>Normal</v>
      </c>
      <c r="H564">
        <v>2.8</v>
      </c>
      <c r="I564">
        <v>2.1800000000000002</v>
      </c>
      <c r="J564" s="1">
        <v>0.5</v>
      </c>
      <c r="K564" t="str">
        <f t="shared" si="26"/>
        <v>0-1 hours</v>
      </c>
      <c r="L564" t="s">
        <v>16</v>
      </c>
      <c r="M564">
        <v>8</v>
      </c>
      <c r="N564">
        <v>8</v>
      </c>
      <c r="O564">
        <v>8</v>
      </c>
      <c r="P564">
        <v>0</v>
      </c>
    </row>
    <row r="565" spans="1:16" x14ac:dyDescent="0.25">
      <c r="A565">
        <v>15</v>
      </c>
      <c r="B565" t="s">
        <v>14</v>
      </c>
      <c r="C565">
        <v>5.7</v>
      </c>
      <c r="D565" t="str">
        <f t="shared" si="24"/>
        <v>Medium</v>
      </c>
      <c r="E565" t="s">
        <v>12</v>
      </c>
      <c r="F565" s="1">
        <v>6.1</v>
      </c>
      <c r="G565" t="str">
        <f t="shared" si="25"/>
        <v>Low</v>
      </c>
      <c r="H565">
        <v>0.7</v>
      </c>
      <c r="I565">
        <v>3.08</v>
      </c>
      <c r="J565" s="1">
        <v>0.6</v>
      </c>
      <c r="K565" t="str">
        <f t="shared" si="26"/>
        <v>0-1 hours</v>
      </c>
      <c r="L565" t="s">
        <v>17</v>
      </c>
      <c r="M565">
        <v>5</v>
      </c>
      <c r="N565">
        <v>9</v>
      </c>
      <c r="O565">
        <v>7</v>
      </c>
      <c r="P565">
        <v>0</v>
      </c>
    </row>
    <row r="566" spans="1:16" x14ac:dyDescent="0.25">
      <c r="A566">
        <v>13</v>
      </c>
      <c r="B566" t="s">
        <v>14</v>
      </c>
      <c r="C566">
        <v>1.5</v>
      </c>
      <c r="D566" t="str">
        <f t="shared" si="24"/>
        <v>Low</v>
      </c>
      <c r="E566" t="s">
        <v>18</v>
      </c>
      <c r="F566" s="1">
        <v>7.9</v>
      </c>
      <c r="G566" t="str">
        <f t="shared" si="25"/>
        <v>Low</v>
      </c>
      <c r="H566">
        <v>1.8</v>
      </c>
      <c r="I566">
        <v>2.85</v>
      </c>
      <c r="J566" s="1">
        <v>1.1000000000000001</v>
      </c>
      <c r="K566" t="str">
        <f t="shared" si="26"/>
        <v>1-2 hours</v>
      </c>
      <c r="L566" t="s">
        <v>17</v>
      </c>
      <c r="M566">
        <v>5</v>
      </c>
      <c r="N566">
        <v>7</v>
      </c>
      <c r="O566">
        <v>1</v>
      </c>
      <c r="P566">
        <v>0</v>
      </c>
    </row>
    <row r="567" spans="1:16" x14ac:dyDescent="0.25">
      <c r="A567">
        <v>15</v>
      </c>
      <c r="B567" t="s">
        <v>14</v>
      </c>
      <c r="C567">
        <v>6.9</v>
      </c>
      <c r="D567" t="str">
        <f t="shared" si="24"/>
        <v>Medium</v>
      </c>
      <c r="E567" t="s">
        <v>15</v>
      </c>
      <c r="F567" s="1">
        <v>8.3000000000000007</v>
      </c>
      <c r="G567" t="str">
        <f t="shared" si="25"/>
        <v>Normal</v>
      </c>
      <c r="H567">
        <v>2.4</v>
      </c>
      <c r="I567">
        <v>3.34</v>
      </c>
      <c r="J567" s="1">
        <v>1.2</v>
      </c>
      <c r="K567" t="str">
        <f t="shared" si="26"/>
        <v>1-2 hours</v>
      </c>
      <c r="L567" t="s">
        <v>16</v>
      </c>
      <c r="M567">
        <v>2</v>
      </c>
      <c r="N567">
        <v>4</v>
      </c>
      <c r="O567">
        <v>9</v>
      </c>
      <c r="P567">
        <v>0</v>
      </c>
    </row>
    <row r="568" spans="1:16" x14ac:dyDescent="0.25">
      <c r="A568">
        <v>14</v>
      </c>
      <c r="B568" t="s">
        <v>11</v>
      </c>
      <c r="C568">
        <v>4.7</v>
      </c>
      <c r="D568" t="str">
        <f t="shared" si="24"/>
        <v>Medium</v>
      </c>
      <c r="E568" t="s">
        <v>15</v>
      </c>
      <c r="F568" s="1">
        <v>7.9</v>
      </c>
      <c r="G568" t="str">
        <f t="shared" si="25"/>
        <v>Low</v>
      </c>
      <c r="H568">
        <v>2.9</v>
      </c>
      <c r="I568">
        <v>2.54</v>
      </c>
      <c r="J568" s="1">
        <v>0.7</v>
      </c>
      <c r="K568" t="str">
        <f t="shared" si="26"/>
        <v>0-1 hours</v>
      </c>
      <c r="L568" t="s">
        <v>16</v>
      </c>
      <c r="M568">
        <v>5</v>
      </c>
      <c r="N568">
        <v>8</v>
      </c>
      <c r="O568">
        <v>7</v>
      </c>
      <c r="P568">
        <v>0</v>
      </c>
    </row>
    <row r="569" spans="1:16" x14ac:dyDescent="0.25">
      <c r="A569">
        <v>15</v>
      </c>
      <c r="B569" t="s">
        <v>14</v>
      </c>
      <c r="C569">
        <v>2.7</v>
      </c>
      <c r="D569" t="str">
        <f t="shared" si="24"/>
        <v>Medium</v>
      </c>
      <c r="E569" t="s">
        <v>18</v>
      </c>
      <c r="F569" s="1">
        <v>8.5</v>
      </c>
      <c r="G569" t="str">
        <f t="shared" si="25"/>
        <v>Normal</v>
      </c>
      <c r="H569">
        <v>0.8</v>
      </c>
      <c r="I569">
        <v>2.91</v>
      </c>
      <c r="J569" s="1">
        <v>1.3</v>
      </c>
      <c r="K569" t="str">
        <f t="shared" si="26"/>
        <v>1-2 hours</v>
      </c>
      <c r="L569" t="s">
        <v>13</v>
      </c>
      <c r="M569">
        <v>6</v>
      </c>
      <c r="N569">
        <v>3</v>
      </c>
      <c r="O569">
        <v>1</v>
      </c>
      <c r="P569">
        <v>0</v>
      </c>
    </row>
    <row r="570" spans="1:16" x14ac:dyDescent="0.25">
      <c r="A570">
        <v>13</v>
      </c>
      <c r="B570" t="s">
        <v>14</v>
      </c>
      <c r="C570">
        <v>6.1</v>
      </c>
      <c r="D570" t="str">
        <f t="shared" si="24"/>
        <v>Medium</v>
      </c>
      <c r="E570" t="s">
        <v>18</v>
      </c>
      <c r="F570" s="1">
        <v>6.4</v>
      </c>
      <c r="G570" t="str">
        <f t="shared" si="25"/>
        <v>Low</v>
      </c>
      <c r="H570">
        <v>2.8</v>
      </c>
      <c r="I570">
        <v>2.5099999999999998</v>
      </c>
      <c r="J570" s="1">
        <v>1.9</v>
      </c>
      <c r="K570" t="str">
        <f t="shared" si="26"/>
        <v>1-2 hours</v>
      </c>
      <c r="L570" t="s">
        <v>13</v>
      </c>
      <c r="M570">
        <v>6</v>
      </c>
      <c r="N570">
        <v>1</v>
      </c>
      <c r="O570">
        <v>9</v>
      </c>
      <c r="P570">
        <v>0</v>
      </c>
    </row>
    <row r="571" spans="1:16" x14ac:dyDescent="0.25">
      <c r="A571">
        <v>17</v>
      </c>
      <c r="B571" t="s">
        <v>14</v>
      </c>
      <c r="C571">
        <v>5</v>
      </c>
      <c r="D571" t="str">
        <f t="shared" si="24"/>
        <v>Medium</v>
      </c>
      <c r="E571" t="s">
        <v>15</v>
      </c>
      <c r="F571" s="1">
        <v>7.3</v>
      </c>
      <c r="G571" t="str">
        <f t="shared" si="25"/>
        <v>Low</v>
      </c>
      <c r="H571">
        <v>1.9</v>
      </c>
      <c r="I571">
        <v>3.83</v>
      </c>
      <c r="J571" s="1">
        <v>0.4</v>
      </c>
      <c r="K571" t="str">
        <f t="shared" si="26"/>
        <v>0-1 hours</v>
      </c>
      <c r="L571" t="s">
        <v>16</v>
      </c>
      <c r="M571">
        <v>8</v>
      </c>
      <c r="N571">
        <v>9</v>
      </c>
      <c r="O571">
        <v>9</v>
      </c>
      <c r="P571">
        <v>0</v>
      </c>
    </row>
    <row r="572" spans="1:16" x14ac:dyDescent="0.25">
      <c r="A572">
        <v>17</v>
      </c>
      <c r="B572" t="s">
        <v>14</v>
      </c>
      <c r="C572">
        <v>5.3</v>
      </c>
      <c r="D572" t="str">
        <f t="shared" si="24"/>
        <v>Medium</v>
      </c>
      <c r="E572" t="s">
        <v>18</v>
      </c>
      <c r="F572" s="1">
        <v>6.8</v>
      </c>
      <c r="G572" t="str">
        <f t="shared" si="25"/>
        <v>Low</v>
      </c>
      <c r="H572">
        <v>1.9</v>
      </c>
      <c r="I572">
        <v>3.39</v>
      </c>
      <c r="J572" s="1">
        <v>1.6</v>
      </c>
      <c r="K572" t="str">
        <f t="shared" si="26"/>
        <v>1-2 hours</v>
      </c>
      <c r="L572" t="s">
        <v>13</v>
      </c>
      <c r="M572">
        <v>10</v>
      </c>
      <c r="N572">
        <v>6</v>
      </c>
      <c r="O572">
        <v>8</v>
      </c>
      <c r="P572">
        <v>0</v>
      </c>
    </row>
    <row r="573" spans="1:16" x14ac:dyDescent="0.25">
      <c r="A573">
        <v>19</v>
      </c>
      <c r="B573" t="s">
        <v>11</v>
      </c>
      <c r="C573">
        <v>7.2</v>
      </c>
      <c r="D573" t="str">
        <f t="shared" si="24"/>
        <v>High</v>
      </c>
      <c r="E573" t="s">
        <v>15</v>
      </c>
      <c r="F573" s="1">
        <v>6.6</v>
      </c>
      <c r="G573" t="str">
        <f t="shared" si="25"/>
        <v>Low</v>
      </c>
      <c r="H573">
        <v>2.9</v>
      </c>
      <c r="I573">
        <v>2.74</v>
      </c>
      <c r="J573" s="1">
        <v>0.3</v>
      </c>
      <c r="K573" t="str">
        <f t="shared" si="26"/>
        <v>0-1 hours</v>
      </c>
      <c r="L573" t="s">
        <v>17</v>
      </c>
      <c r="M573">
        <v>1</v>
      </c>
      <c r="N573">
        <v>10</v>
      </c>
      <c r="O573">
        <v>9</v>
      </c>
      <c r="P573">
        <v>0</v>
      </c>
    </row>
    <row r="574" spans="1:16" x14ac:dyDescent="0.25">
      <c r="A574">
        <v>15</v>
      </c>
      <c r="B574" t="s">
        <v>11</v>
      </c>
      <c r="C574">
        <v>2.2999999999999998</v>
      </c>
      <c r="D574" t="str">
        <f t="shared" si="24"/>
        <v>Medium</v>
      </c>
      <c r="E574" t="s">
        <v>18</v>
      </c>
      <c r="F574" s="1">
        <v>5.7</v>
      </c>
      <c r="G574" t="str">
        <f t="shared" si="25"/>
        <v>Low</v>
      </c>
      <c r="H574">
        <v>2.8</v>
      </c>
      <c r="I574">
        <v>2.79</v>
      </c>
      <c r="J574" s="1">
        <v>1.9</v>
      </c>
      <c r="K574" t="str">
        <f t="shared" si="26"/>
        <v>1-2 hours</v>
      </c>
      <c r="L574" t="s">
        <v>17</v>
      </c>
      <c r="M574">
        <v>4</v>
      </c>
      <c r="N574">
        <v>1</v>
      </c>
      <c r="O574">
        <v>4</v>
      </c>
      <c r="P574">
        <v>0</v>
      </c>
    </row>
    <row r="575" spans="1:16" x14ac:dyDescent="0.25">
      <c r="A575">
        <v>17</v>
      </c>
      <c r="B575" t="s">
        <v>14</v>
      </c>
      <c r="C575">
        <v>7.3</v>
      </c>
      <c r="D575" t="str">
        <f t="shared" si="24"/>
        <v>High</v>
      </c>
      <c r="E575" t="s">
        <v>18</v>
      </c>
      <c r="F575" s="1">
        <v>7.8</v>
      </c>
      <c r="G575" t="str">
        <f t="shared" si="25"/>
        <v>Low</v>
      </c>
      <c r="H575">
        <v>1.1000000000000001</v>
      </c>
      <c r="I575">
        <v>2.0299999999999998</v>
      </c>
      <c r="J575" s="1">
        <v>1.1000000000000001</v>
      </c>
      <c r="K575" t="str">
        <f t="shared" si="26"/>
        <v>1-2 hours</v>
      </c>
      <c r="L575" t="s">
        <v>13</v>
      </c>
      <c r="M575">
        <v>3</v>
      </c>
      <c r="N575">
        <v>10</v>
      </c>
      <c r="O575">
        <v>6</v>
      </c>
      <c r="P575">
        <v>0</v>
      </c>
    </row>
    <row r="576" spans="1:16" x14ac:dyDescent="0.25">
      <c r="A576">
        <v>16</v>
      </c>
      <c r="B576" t="s">
        <v>14</v>
      </c>
      <c r="C576">
        <v>1.5</v>
      </c>
      <c r="D576" t="str">
        <f t="shared" si="24"/>
        <v>Low</v>
      </c>
      <c r="E576" t="s">
        <v>12</v>
      </c>
      <c r="F576" s="1">
        <v>8</v>
      </c>
      <c r="G576" t="str">
        <f t="shared" si="25"/>
        <v>Normal</v>
      </c>
      <c r="H576">
        <v>0.7</v>
      </c>
      <c r="I576">
        <v>2.1800000000000002</v>
      </c>
      <c r="J576" s="1">
        <v>0.6</v>
      </c>
      <c r="K576" t="str">
        <f t="shared" si="26"/>
        <v>0-1 hours</v>
      </c>
      <c r="L576" t="s">
        <v>17</v>
      </c>
      <c r="M576">
        <v>4</v>
      </c>
      <c r="N576">
        <v>7</v>
      </c>
      <c r="O576">
        <v>5</v>
      </c>
      <c r="P576">
        <v>0</v>
      </c>
    </row>
    <row r="577" spans="1:16" x14ac:dyDescent="0.25">
      <c r="A577">
        <v>18</v>
      </c>
      <c r="B577" t="s">
        <v>14</v>
      </c>
      <c r="C577">
        <v>2.2000000000000002</v>
      </c>
      <c r="D577" t="str">
        <f t="shared" si="24"/>
        <v>Medium</v>
      </c>
      <c r="E577" t="s">
        <v>12</v>
      </c>
      <c r="F577" s="1">
        <v>6.5</v>
      </c>
      <c r="G577" t="str">
        <f t="shared" si="25"/>
        <v>Low</v>
      </c>
      <c r="H577">
        <v>1.9</v>
      </c>
      <c r="I577">
        <v>3.79</v>
      </c>
      <c r="J577" s="1">
        <v>0.2</v>
      </c>
      <c r="K577" t="str">
        <f t="shared" si="26"/>
        <v>0-1 hours</v>
      </c>
      <c r="L577" t="s">
        <v>13</v>
      </c>
      <c r="M577">
        <v>1</v>
      </c>
      <c r="N577">
        <v>6</v>
      </c>
      <c r="O577">
        <v>2</v>
      </c>
      <c r="P577">
        <v>0</v>
      </c>
    </row>
    <row r="578" spans="1:16" x14ac:dyDescent="0.25">
      <c r="A578">
        <v>13</v>
      </c>
      <c r="B578" t="s">
        <v>14</v>
      </c>
      <c r="C578">
        <v>5.5</v>
      </c>
      <c r="D578" t="str">
        <f t="shared" ref="D578:D641" si="27">IF(C578&lt;2,"Low",IF(C578&lt;7,"Medium","High"))</f>
        <v>Medium</v>
      </c>
      <c r="E578" t="s">
        <v>18</v>
      </c>
      <c r="F578" s="1">
        <v>6.7</v>
      </c>
      <c r="G578" t="str">
        <f t="shared" ref="G578:G641" si="28">IF(F578&gt;=8,"Normal","Low")</f>
        <v>Low</v>
      </c>
      <c r="H578">
        <v>1.6</v>
      </c>
      <c r="I578">
        <v>3.09</v>
      </c>
      <c r="J578" s="1">
        <v>1.7</v>
      </c>
      <c r="K578" t="str">
        <f t="shared" ref="K578:K641" si="29">IF(J578=0,"No activity",IF(J578&lt;=1,"0-1 hours","1-2 hours"))</f>
        <v>1-2 hours</v>
      </c>
      <c r="L578" t="s">
        <v>16</v>
      </c>
      <c r="M578">
        <v>10</v>
      </c>
      <c r="N578">
        <v>1</v>
      </c>
      <c r="O578">
        <v>6</v>
      </c>
      <c r="P578">
        <v>0</v>
      </c>
    </row>
    <row r="579" spans="1:16" x14ac:dyDescent="0.25">
      <c r="A579">
        <v>19</v>
      </c>
      <c r="B579" t="s">
        <v>11</v>
      </c>
      <c r="C579">
        <v>2.1</v>
      </c>
      <c r="D579" t="str">
        <f t="shared" si="27"/>
        <v>Medium</v>
      </c>
      <c r="E579" t="s">
        <v>15</v>
      </c>
      <c r="F579" s="1">
        <v>5.2</v>
      </c>
      <c r="G579" t="str">
        <f t="shared" si="28"/>
        <v>Low</v>
      </c>
      <c r="H579">
        <v>2.5</v>
      </c>
      <c r="I579">
        <v>3.1</v>
      </c>
      <c r="J579" s="1">
        <v>0.3</v>
      </c>
      <c r="K579" t="str">
        <f t="shared" si="29"/>
        <v>0-1 hours</v>
      </c>
      <c r="L579" t="s">
        <v>13</v>
      </c>
      <c r="M579">
        <v>9</v>
      </c>
      <c r="N579">
        <v>9</v>
      </c>
      <c r="O579">
        <v>3</v>
      </c>
      <c r="P579">
        <v>0</v>
      </c>
    </row>
    <row r="580" spans="1:16" x14ac:dyDescent="0.25">
      <c r="A580">
        <v>15</v>
      </c>
      <c r="B580" t="s">
        <v>14</v>
      </c>
      <c r="C580">
        <v>4.5</v>
      </c>
      <c r="D580" t="str">
        <f t="shared" si="27"/>
        <v>Medium</v>
      </c>
      <c r="E580" t="s">
        <v>18</v>
      </c>
      <c r="F580" s="1">
        <v>5.4</v>
      </c>
      <c r="G580" t="str">
        <f t="shared" si="28"/>
        <v>Low</v>
      </c>
      <c r="H580">
        <v>1.2</v>
      </c>
      <c r="I580">
        <v>3.76</v>
      </c>
      <c r="J580" s="1">
        <v>1.7</v>
      </c>
      <c r="K580" t="str">
        <f t="shared" si="29"/>
        <v>1-2 hours</v>
      </c>
      <c r="L580" t="s">
        <v>16</v>
      </c>
      <c r="M580">
        <v>1</v>
      </c>
      <c r="N580">
        <v>8</v>
      </c>
      <c r="O580">
        <v>7</v>
      </c>
      <c r="P580">
        <v>0</v>
      </c>
    </row>
    <row r="581" spans="1:16" x14ac:dyDescent="0.25">
      <c r="A581">
        <v>13</v>
      </c>
      <c r="B581" t="s">
        <v>11</v>
      </c>
      <c r="C581">
        <v>3.9</v>
      </c>
      <c r="D581" t="str">
        <f t="shared" si="27"/>
        <v>Medium</v>
      </c>
      <c r="E581" t="s">
        <v>18</v>
      </c>
      <c r="F581" s="1">
        <v>5.8</v>
      </c>
      <c r="G581" t="str">
        <f t="shared" si="28"/>
        <v>Low</v>
      </c>
      <c r="H581">
        <v>0.7</v>
      </c>
      <c r="I581">
        <v>2.77</v>
      </c>
      <c r="J581" s="1">
        <v>1.3</v>
      </c>
      <c r="K581" t="str">
        <f t="shared" si="29"/>
        <v>1-2 hours</v>
      </c>
      <c r="L581" t="s">
        <v>17</v>
      </c>
      <c r="M581">
        <v>10</v>
      </c>
      <c r="N581">
        <v>3</v>
      </c>
      <c r="O581">
        <v>1</v>
      </c>
      <c r="P581">
        <v>0</v>
      </c>
    </row>
    <row r="582" spans="1:16" x14ac:dyDescent="0.25">
      <c r="A582">
        <v>14</v>
      </c>
      <c r="B582" t="s">
        <v>11</v>
      </c>
      <c r="C582">
        <v>5.8</v>
      </c>
      <c r="D582" t="str">
        <f t="shared" si="27"/>
        <v>Medium</v>
      </c>
      <c r="E582" t="s">
        <v>12</v>
      </c>
      <c r="F582" s="1">
        <v>5.0999999999999996</v>
      </c>
      <c r="G582" t="str">
        <f t="shared" si="28"/>
        <v>Low</v>
      </c>
      <c r="H582">
        <v>2.6</v>
      </c>
      <c r="I582">
        <v>2.06</v>
      </c>
      <c r="J582" s="1">
        <v>1.5</v>
      </c>
      <c r="K582" t="str">
        <f t="shared" si="29"/>
        <v>1-2 hours</v>
      </c>
      <c r="L582" t="s">
        <v>17</v>
      </c>
      <c r="M582">
        <v>7</v>
      </c>
      <c r="N582">
        <v>5</v>
      </c>
      <c r="O582">
        <v>2</v>
      </c>
      <c r="P582">
        <v>0</v>
      </c>
    </row>
    <row r="583" spans="1:16" x14ac:dyDescent="0.25">
      <c r="A583">
        <v>13</v>
      </c>
      <c r="B583" t="s">
        <v>14</v>
      </c>
      <c r="C583">
        <v>7.2</v>
      </c>
      <c r="D583" t="str">
        <f t="shared" si="27"/>
        <v>High</v>
      </c>
      <c r="E583" t="s">
        <v>18</v>
      </c>
      <c r="F583" s="1">
        <v>4.2</v>
      </c>
      <c r="G583" t="str">
        <f t="shared" si="28"/>
        <v>Low</v>
      </c>
      <c r="H583">
        <v>2.5</v>
      </c>
      <c r="I583">
        <v>2.65</v>
      </c>
      <c r="J583" s="1">
        <v>1.6</v>
      </c>
      <c r="K583" t="str">
        <f t="shared" si="29"/>
        <v>1-2 hours</v>
      </c>
      <c r="L583" t="s">
        <v>13</v>
      </c>
      <c r="M583">
        <v>10</v>
      </c>
      <c r="N583">
        <v>9</v>
      </c>
      <c r="O583">
        <v>3</v>
      </c>
      <c r="P583">
        <v>1</v>
      </c>
    </row>
    <row r="584" spans="1:16" x14ac:dyDescent="0.25">
      <c r="A584">
        <v>17</v>
      </c>
      <c r="B584" t="s">
        <v>14</v>
      </c>
      <c r="C584">
        <v>2.9</v>
      </c>
      <c r="D584" t="str">
        <f t="shared" si="27"/>
        <v>Medium</v>
      </c>
      <c r="E584" t="s">
        <v>18</v>
      </c>
      <c r="F584" s="1">
        <v>7.5</v>
      </c>
      <c r="G584" t="str">
        <f t="shared" si="28"/>
        <v>Low</v>
      </c>
      <c r="H584">
        <v>1.4</v>
      </c>
      <c r="I584">
        <v>3.42</v>
      </c>
      <c r="J584" s="1">
        <v>1.7</v>
      </c>
      <c r="K584" t="str">
        <f t="shared" si="29"/>
        <v>1-2 hours</v>
      </c>
      <c r="L584" t="s">
        <v>13</v>
      </c>
      <c r="M584">
        <v>5</v>
      </c>
      <c r="N584">
        <v>6</v>
      </c>
      <c r="O584">
        <v>3</v>
      </c>
      <c r="P584">
        <v>0</v>
      </c>
    </row>
    <row r="585" spans="1:16" x14ac:dyDescent="0.25">
      <c r="A585">
        <v>17</v>
      </c>
      <c r="B585" t="s">
        <v>11</v>
      </c>
      <c r="C585">
        <v>6.2</v>
      </c>
      <c r="D585" t="str">
        <f t="shared" si="27"/>
        <v>Medium</v>
      </c>
      <c r="E585" t="s">
        <v>12</v>
      </c>
      <c r="F585" s="1">
        <v>7.4</v>
      </c>
      <c r="G585" t="str">
        <f t="shared" si="28"/>
        <v>Low</v>
      </c>
      <c r="H585">
        <v>0.6</v>
      </c>
      <c r="I585">
        <v>3.38</v>
      </c>
      <c r="J585" s="1">
        <v>1.5</v>
      </c>
      <c r="K585" t="str">
        <f t="shared" si="29"/>
        <v>1-2 hours</v>
      </c>
      <c r="L585" t="s">
        <v>13</v>
      </c>
      <c r="M585">
        <v>4</v>
      </c>
      <c r="N585">
        <v>7</v>
      </c>
      <c r="O585">
        <v>9</v>
      </c>
      <c r="P585">
        <v>0</v>
      </c>
    </row>
    <row r="586" spans="1:16" x14ac:dyDescent="0.25">
      <c r="A586">
        <v>18</v>
      </c>
      <c r="B586" t="s">
        <v>14</v>
      </c>
      <c r="C586">
        <v>1.1000000000000001</v>
      </c>
      <c r="D586" t="str">
        <f t="shared" si="27"/>
        <v>Low</v>
      </c>
      <c r="E586" t="s">
        <v>18</v>
      </c>
      <c r="F586" s="1">
        <v>4.9000000000000004</v>
      </c>
      <c r="G586" t="str">
        <f t="shared" si="28"/>
        <v>Low</v>
      </c>
      <c r="H586">
        <v>2.6</v>
      </c>
      <c r="I586">
        <v>2.4300000000000002</v>
      </c>
      <c r="J586" s="1">
        <v>1.3</v>
      </c>
      <c r="K586" t="str">
        <f t="shared" si="29"/>
        <v>1-2 hours</v>
      </c>
      <c r="L586" t="s">
        <v>16</v>
      </c>
      <c r="M586">
        <v>9</v>
      </c>
      <c r="N586">
        <v>7</v>
      </c>
      <c r="O586">
        <v>6</v>
      </c>
      <c r="P586">
        <v>0</v>
      </c>
    </row>
    <row r="587" spans="1:16" x14ac:dyDescent="0.25">
      <c r="A587">
        <v>19</v>
      </c>
      <c r="B587" t="s">
        <v>11</v>
      </c>
      <c r="C587">
        <v>5.2</v>
      </c>
      <c r="D587" t="str">
        <f t="shared" si="27"/>
        <v>Medium</v>
      </c>
      <c r="E587" t="s">
        <v>12</v>
      </c>
      <c r="F587" s="1">
        <v>4.3</v>
      </c>
      <c r="G587" t="str">
        <f t="shared" si="28"/>
        <v>Low</v>
      </c>
      <c r="H587">
        <v>1.3</v>
      </c>
      <c r="I587">
        <v>2.29</v>
      </c>
      <c r="J587" s="1">
        <v>1.3</v>
      </c>
      <c r="K587" t="str">
        <f t="shared" si="29"/>
        <v>1-2 hours</v>
      </c>
      <c r="L587" t="s">
        <v>17</v>
      </c>
      <c r="M587">
        <v>10</v>
      </c>
      <c r="N587">
        <v>8</v>
      </c>
      <c r="O587">
        <v>10</v>
      </c>
      <c r="P587">
        <v>1</v>
      </c>
    </row>
    <row r="588" spans="1:16" x14ac:dyDescent="0.25">
      <c r="A588">
        <v>15</v>
      </c>
      <c r="B588" t="s">
        <v>14</v>
      </c>
      <c r="C588">
        <v>5</v>
      </c>
      <c r="D588" t="str">
        <f t="shared" si="27"/>
        <v>Medium</v>
      </c>
      <c r="E588" t="s">
        <v>12</v>
      </c>
      <c r="F588" s="1">
        <v>7.6</v>
      </c>
      <c r="G588" t="str">
        <f t="shared" si="28"/>
        <v>Low</v>
      </c>
      <c r="H588">
        <v>1.8</v>
      </c>
      <c r="I588">
        <v>2.52</v>
      </c>
      <c r="J588" s="1">
        <v>1.4</v>
      </c>
      <c r="K588" t="str">
        <f t="shared" si="29"/>
        <v>1-2 hours</v>
      </c>
      <c r="L588" t="s">
        <v>16</v>
      </c>
      <c r="M588">
        <v>1</v>
      </c>
      <c r="N588">
        <v>4</v>
      </c>
      <c r="O588">
        <v>3</v>
      </c>
      <c r="P588">
        <v>0</v>
      </c>
    </row>
    <row r="589" spans="1:16" x14ac:dyDescent="0.25">
      <c r="A589">
        <v>13</v>
      </c>
      <c r="B589" t="s">
        <v>14</v>
      </c>
      <c r="C589">
        <v>2.2999999999999998</v>
      </c>
      <c r="D589" t="str">
        <f t="shared" si="27"/>
        <v>Medium</v>
      </c>
      <c r="E589" t="s">
        <v>15</v>
      </c>
      <c r="F589" s="1">
        <v>8.6999999999999993</v>
      </c>
      <c r="G589" t="str">
        <f t="shared" si="28"/>
        <v>Normal</v>
      </c>
      <c r="H589">
        <v>1.2</v>
      </c>
      <c r="I589">
        <v>3.25</v>
      </c>
      <c r="J589" s="1">
        <v>1.5</v>
      </c>
      <c r="K589" t="str">
        <f t="shared" si="29"/>
        <v>1-2 hours</v>
      </c>
      <c r="L589" t="s">
        <v>16</v>
      </c>
      <c r="M589">
        <v>9</v>
      </c>
      <c r="N589">
        <v>9</v>
      </c>
      <c r="O589">
        <v>1</v>
      </c>
      <c r="P589">
        <v>0</v>
      </c>
    </row>
    <row r="590" spans="1:16" x14ac:dyDescent="0.25">
      <c r="A590">
        <v>15</v>
      </c>
      <c r="B590" t="s">
        <v>14</v>
      </c>
      <c r="C590">
        <v>5.2</v>
      </c>
      <c r="D590" t="str">
        <f t="shared" si="27"/>
        <v>Medium</v>
      </c>
      <c r="E590" t="s">
        <v>15</v>
      </c>
      <c r="F590" s="1">
        <v>5.6</v>
      </c>
      <c r="G590" t="str">
        <f t="shared" si="28"/>
        <v>Low</v>
      </c>
      <c r="H590">
        <v>1.5</v>
      </c>
      <c r="I590">
        <v>3.13</v>
      </c>
      <c r="J590" s="1">
        <v>0.1</v>
      </c>
      <c r="K590" t="str">
        <f t="shared" si="29"/>
        <v>0-1 hours</v>
      </c>
      <c r="L590" t="s">
        <v>13</v>
      </c>
      <c r="M590">
        <v>7</v>
      </c>
      <c r="N590">
        <v>9</v>
      </c>
      <c r="O590">
        <v>4</v>
      </c>
      <c r="P590">
        <v>1</v>
      </c>
    </row>
    <row r="591" spans="1:16" x14ac:dyDescent="0.25">
      <c r="A591">
        <v>13</v>
      </c>
      <c r="B591" t="s">
        <v>14</v>
      </c>
      <c r="C591">
        <v>3.5</v>
      </c>
      <c r="D591" t="str">
        <f t="shared" si="27"/>
        <v>Medium</v>
      </c>
      <c r="E591" t="s">
        <v>18</v>
      </c>
      <c r="F591" s="1">
        <v>8.6999999999999993</v>
      </c>
      <c r="G591" t="str">
        <f t="shared" si="28"/>
        <v>Normal</v>
      </c>
      <c r="H591">
        <v>1.4</v>
      </c>
      <c r="I591">
        <v>3.5</v>
      </c>
      <c r="J591" s="1">
        <v>1.3</v>
      </c>
      <c r="K591" t="str">
        <f t="shared" si="29"/>
        <v>1-2 hours</v>
      </c>
      <c r="L591" t="s">
        <v>16</v>
      </c>
      <c r="M591">
        <v>9</v>
      </c>
      <c r="N591">
        <v>4</v>
      </c>
      <c r="O591">
        <v>5</v>
      </c>
      <c r="P591">
        <v>0</v>
      </c>
    </row>
    <row r="592" spans="1:16" x14ac:dyDescent="0.25">
      <c r="A592">
        <v>16</v>
      </c>
      <c r="B592" t="s">
        <v>14</v>
      </c>
      <c r="C592">
        <v>3.5</v>
      </c>
      <c r="D592" t="str">
        <f t="shared" si="27"/>
        <v>Medium</v>
      </c>
      <c r="E592" t="s">
        <v>18</v>
      </c>
      <c r="F592" s="1">
        <v>4.2</v>
      </c>
      <c r="G592" t="str">
        <f t="shared" si="28"/>
        <v>Low</v>
      </c>
      <c r="H592">
        <v>1.5</v>
      </c>
      <c r="I592">
        <v>3.98</v>
      </c>
      <c r="J592" s="1">
        <v>0.4</v>
      </c>
      <c r="K592" t="str">
        <f t="shared" si="29"/>
        <v>0-1 hours</v>
      </c>
      <c r="L592" t="s">
        <v>17</v>
      </c>
      <c r="M592">
        <v>1</v>
      </c>
      <c r="N592">
        <v>7</v>
      </c>
      <c r="O592">
        <v>2</v>
      </c>
      <c r="P592">
        <v>0</v>
      </c>
    </row>
    <row r="593" spans="1:16" x14ac:dyDescent="0.25">
      <c r="A593">
        <v>19</v>
      </c>
      <c r="B593" t="s">
        <v>11</v>
      </c>
      <c r="C593">
        <v>7.7</v>
      </c>
      <c r="D593" t="str">
        <f t="shared" si="27"/>
        <v>High</v>
      </c>
      <c r="E593" t="s">
        <v>12</v>
      </c>
      <c r="F593" s="1">
        <v>4.2</v>
      </c>
      <c r="G593" t="str">
        <f t="shared" si="28"/>
        <v>Low</v>
      </c>
      <c r="H593">
        <v>2.6</v>
      </c>
      <c r="I593">
        <v>2.2000000000000002</v>
      </c>
      <c r="J593" s="1">
        <v>1.8</v>
      </c>
      <c r="K593" t="str">
        <f t="shared" si="29"/>
        <v>1-2 hours</v>
      </c>
      <c r="L593" t="s">
        <v>13</v>
      </c>
      <c r="M593">
        <v>8</v>
      </c>
      <c r="N593">
        <v>9</v>
      </c>
      <c r="O593">
        <v>4</v>
      </c>
      <c r="P593">
        <v>1</v>
      </c>
    </row>
    <row r="594" spans="1:16" x14ac:dyDescent="0.25">
      <c r="A594">
        <v>18</v>
      </c>
      <c r="B594" t="s">
        <v>14</v>
      </c>
      <c r="C594">
        <v>2</v>
      </c>
      <c r="D594" t="str">
        <f t="shared" si="27"/>
        <v>Medium</v>
      </c>
      <c r="E594" t="s">
        <v>18</v>
      </c>
      <c r="F594" s="1">
        <v>8.6</v>
      </c>
      <c r="G594" t="str">
        <f t="shared" si="28"/>
        <v>Normal</v>
      </c>
      <c r="H594">
        <v>2.2000000000000002</v>
      </c>
      <c r="I594">
        <v>3.53</v>
      </c>
      <c r="J594" s="1">
        <v>1.9</v>
      </c>
      <c r="K594" t="str">
        <f t="shared" si="29"/>
        <v>1-2 hours</v>
      </c>
      <c r="L594" t="s">
        <v>13</v>
      </c>
      <c r="M594">
        <v>2</v>
      </c>
      <c r="N594">
        <v>5</v>
      </c>
      <c r="O594">
        <v>8</v>
      </c>
      <c r="P594">
        <v>0</v>
      </c>
    </row>
    <row r="595" spans="1:16" x14ac:dyDescent="0.25">
      <c r="A595">
        <v>13</v>
      </c>
      <c r="B595" t="s">
        <v>14</v>
      </c>
      <c r="C595">
        <v>5.0999999999999996</v>
      </c>
      <c r="D595" t="str">
        <f t="shared" si="27"/>
        <v>Medium</v>
      </c>
      <c r="E595" t="s">
        <v>15</v>
      </c>
      <c r="F595" s="1">
        <v>4.5</v>
      </c>
      <c r="G595" t="str">
        <f t="shared" si="28"/>
        <v>Low</v>
      </c>
      <c r="H595">
        <v>2.7</v>
      </c>
      <c r="I595">
        <v>2.54</v>
      </c>
      <c r="J595" s="1">
        <v>1.4</v>
      </c>
      <c r="K595" t="str">
        <f t="shared" si="29"/>
        <v>1-2 hours</v>
      </c>
      <c r="L595" t="s">
        <v>16</v>
      </c>
      <c r="M595">
        <v>2</v>
      </c>
      <c r="N595">
        <v>3</v>
      </c>
      <c r="O595">
        <v>10</v>
      </c>
      <c r="P595">
        <v>0</v>
      </c>
    </row>
    <row r="596" spans="1:16" x14ac:dyDescent="0.25">
      <c r="A596">
        <v>16</v>
      </c>
      <c r="B596" t="s">
        <v>11</v>
      </c>
      <c r="C596">
        <v>2</v>
      </c>
      <c r="D596" t="str">
        <f t="shared" si="27"/>
        <v>Medium</v>
      </c>
      <c r="E596" t="s">
        <v>12</v>
      </c>
      <c r="F596" s="1">
        <v>7.9</v>
      </c>
      <c r="G596" t="str">
        <f t="shared" si="28"/>
        <v>Low</v>
      </c>
      <c r="H596">
        <v>2.4</v>
      </c>
      <c r="I596">
        <v>2.81</v>
      </c>
      <c r="J596" s="1">
        <v>1.9</v>
      </c>
      <c r="K596" t="str">
        <f t="shared" si="29"/>
        <v>1-2 hours</v>
      </c>
      <c r="L596" t="s">
        <v>13</v>
      </c>
      <c r="M596">
        <v>10</v>
      </c>
      <c r="N596">
        <v>6</v>
      </c>
      <c r="O596">
        <v>6</v>
      </c>
      <c r="P596">
        <v>0</v>
      </c>
    </row>
    <row r="597" spans="1:16" x14ac:dyDescent="0.25">
      <c r="A597">
        <v>15</v>
      </c>
      <c r="B597" t="s">
        <v>11</v>
      </c>
      <c r="C597">
        <v>4.7</v>
      </c>
      <c r="D597" t="str">
        <f t="shared" si="27"/>
        <v>Medium</v>
      </c>
      <c r="E597" t="s">
        <v>12</v>
      </c>
      <c r="F597" s="1">
        <v>8.4</v>
      </c>
      <c r="G597" t="str">
        <f t="shared" si="28"/>
        <v>Normal</v>
      </c>
      <c r="H597">
        <v>1.9</v>
      </c>
      <c r="I597">
        <v>3.9</v>
      </c>
      <c r="J597" s="1">
        <v>1</v>
      </c>
      <c r="K597" t="str">
        <f t="shared" si="29"/>
        <v>0-1 hours</v>
      </c>
      <c r="L597" t="s">
        <v>16</v>
      </c>
      <c r="M597">
        <v>4</v>
      </c>
      <c r="N597">
        <v>10</v>
      </c>
      <c r="O597">
        <v>6</v>
      </c>
      <c r="P597">
        <v>0</v>
      </c>
    </row>
    <row r="598" spans="1:16" x14ac:dyDescent="0.25">
      <c r="A598">
        <v>17</v>
      </c>
      <c r="B598" t="s">
        <v>14</v>
      </c>
      <c r="C598">
        <v>6.9</v>
      </c>
      <c r="D598" t="str">
        <f t="shared" si="27"/>
        <v>Medium</v>
      </c>
      <c r="E598" t="s">
        <v>15</v>
      </c>
      <c r="F598" s="1">
        <v>6.1</v>
      </c>
      <c r="G598" t="str">
        <f t="shared" si="28"/>
        <v>Low</v>
      </c>
      <c r="H598">
        <v>2.4</v>
      </c>
      <c r="I598">
        <v>3.77</v>
      </c>
      <c r="J598" s="1">
        <v>1.1000000000000001</v>
      </c>
      <c r="K598" t="str">
        <f t="shared" si="29"/>
        <v>1-2 hours</v>
      </c>
      <c r="L598" t="s">
        <v>17</v>
      </c>
      <c r="M598">
        <v>9</v>
      </c>
      <c r="N598">
        <v>4</v>
      </c>
      <c r="O598">
        <v>9</v>
      </c>
      <c r="P598">
        <v>0</v>
      </c>
    </row>
    <row r="599" spans="1:16" x14ac:dyDescent="0.25">
      <c r="A599">
        <v>18</v>
      </c>
      <c r="B599" t="s">
        <v>11</v>
      </c>
      <c r="C599">
        <v>5.9</v>
      </c>
      <c r="D599" t="str">
        <f t="shared" si="27"/>
        <v>Medium</v>
      </c>
      <c r="E599" t="s">
        <v>12</v>
      </c>
      <c r="F599" s="1">
        <v>4.4000000000000004</v>
      </c>
      <c r="G599" t="str">
        <f t="shared" si="28"/>
        <v>Low</v>
      </c>
      <c r="H599">
        <v>2.7</v>
      </c>
      <c r="I599">
        <v>2.09</v>
      </c>
      <c r="J599" s="1">
        <v>1.8</v>
      </c>
      <c r="K599" t="str">
        <f t="shared" si="29"/>
        <v>1-2 hours</v>
      </c>
      <c r="L599" t="s">
        <v>16</v>
      </c>
      <c r="M599">
        <v>1</v>
      </c>
      <c r="N599">
        <v>6</v>
      </c>
      <c r="O599">
        <v>6</v>
      </c>
      <c r="P599">
        <v>0</v>
      </c>
    </row>
    <row r="600" spans="1:16" x14ac:dyDescent="0.25">
      <c r="A600">
        <v>19</v>
      </c>
      <c r="B600" t="s">
        <v>11</v>
      </c>
      <c r="C600">
        <v>2.7</v>
      </c>
      <c r="D600" t="str">
        <f t="shared" si="27"/>
        <v>Medium</v>
      </c>
      <c r="E600" t="s">
        <v>12</v>
      </c>
      <c r="F600" s="1">
        <v>6.3</v>
      </c>
      <c r="G600" t="str">
        <f t="shared" si="28"/>
        <v>Low</v>
      </c>
      <c r="H600">
        <v>1.3</v>
      </c>
      <c r="I600">
        <v>3.91</v>
      </c>
      <c r="J600" s="1">
        <v>1.2</v>
      </c>
      <c r="K600" t="str">
        <f t="shared" si="29"/>
        <v>1-2 hours</v>
      </c>
      <c r="L600" t="s">
        <v>16</v>
      </c>
      <c r="M600">
        <v>7</v>
      </c>
      <c r="N600">
        <v>5</v>
      </c>
      <c r="O600">
        <v>7</v>
      </c>
      <c r="P600">
        <v>0</v>
      </c>
    </row>
    <row r="601" spans="1:16" x14ac:dyDescent="0.25">
      <c r="A601">
        <v>16</v>
      </c>
      <c r="B601" t="s">
        <v>11</v>
      </c>
      <c r="C601">
        <v>7.9</v>
      </c>
      <c r="D601" t="str">
        <f t="shared" si="27"/>
        <v>High</v>
      </c>
      <c r="E601" t="s">
        <v>15</v>
      </c>
      <c r="F601" s="1">
        <v>8</v>
      </c>
      <c r="G601" t="str">
        <f t="shared" si="28"/>
        <v>Normal</v>
      </c>
      <c r="H601">
        <v>1.6</v>
      </c>
      <c r="I601">
        <v>3.47</v>
      </c>
      <c r="J601" s="1">
        <v>1.5</v>
      </c>
      <c r="K601" t="str">
        <f t="shared" si="29"/>
        <v>1-2 hours</v>
      </c>
      <c r="L601" t="s">
        <v>16</v>
      </c>
      <c r="M601">
        <v>3</v>
      </c>
      <c r="N601">
        <v>5</v>
      </c>
      <c r="O601">
        <v>6</v>
      </c>
      <c r="P601">
        <v>0</v>
      </c>
    </row>
    <row r="602" spans="1:16" x14ac:dyDescent="0.25">
      <c r="A602">
        <v>16</v>
      </c>
      <c r="B602" t="s">
        <v>14</v>
      </c>
      <c r="C602">
        <v>7.4</v>
      </c>
      <c r="D602" t="str">
        <f t="shared" si="27"/>
        <v>High</v>
      </c>
      <c r="E602" t="s">
        <v>15</v>
      </c>
      <c r="F602" s="1">
        <v>5.5</v>
      </c>
      <c r="G602" t="str">
        <f t="shared" si="28"/>
        <v>Low</v>
      </c>
      <c r="H602">
        <v>1.8</v>
      </c>
      <c r="I602">
        <v>2.13</v>
      </c>
      <c r="J602" s="1">
        <v>0.3</v>
      </c>
      <c r="K602" t="str">
        <f t="shared" si="29"/>
        <v>0-1 hours</v>
      </c>
      <c r="L602" t="s">
        <v>16</v>
      </c>
      <c r="M602">
        <v>7</v>
      </c>
      <c r="N602">
        <v>9</v>
      </c>
      <c r="O602">
        <v>9</v>
      </c>
      <c r="P602">
        <v>1</v>
      </c>
    </row>
    <row r="603" spans="1:16" x14ac:dyDescent="0.25">
      <c r="A603">
        <v>17</v>
      </c>
      <c r="B603" t="s">
        <v>14</v>
      </c>
      <c r="C603">
        <v>2.2999999999999998</v>
      </c>
      <c r="D603" t="str">
        <f t="shared" si="27"/>
        <v>Medium</v>
      </c>
      <c r="E603" t="s">
        <v>12</v>
      </c>
      <c r="F603" s="1">
        <v>4.9000000000000004</v>
      </c>
      <c r="G603" t="str">
        <f t="shared" si="28"/>
        <v>Low</v>
      </c>
      <c r="H603">
        <v>1.7</v>
      </c>
      <c r="I603">
        <v>2.0699999999999998</v>
      </c>
      <c r="J603" s="1">
        <v>0.3</v>
      </c>
      <c r="K603" t="str">
        <f t="shared" si="29"/>
        <v>0-1 hours</v>
      </c>
      <c r="L603" t="s">
        <v>17</v>
      </c>
      <c r="M603">
        <v>3</v>
      </c>
      <c r="N603">
        <v>7</v>
      </c>
      <c r="O603">
        <v>7</v>
      </c>
      <c r="P603">
        <v>0</v>
      </c>
    </row>
    <row r="604" spans="1:16" x14ac:dyDescent="0.25">
      <c r="A604">
        <v>13</v>
      </c>
      <c r="B604" t="s">
        <v>11</v>
      </c>
      <c r="C604">
        <v>7.1</v>
      </c>
      <c r="D604" t="str">
        <f t="shared" si="27"/>
        <v>High</v>
      </c>
      <c r="E604" t="s">
        <v>18</v>
      </c>
      <c r="F604" s="1">
        <v>5.7</v>
      </c>
      <c r="G604" t="str">
        <f t="shared" si="28"/>
        <v>Low</v>
      </c>
      <c r="H604">
        <v>2.1</v>
      </c>
      <c r="I604">
        <v>3.52</v>
      </c>
      <c r="J604" s="1">
        <v>1.7</v>
      </c>
      <c r="K604" t="str">
        <f t="shared" si="29"/>
        <v>1-2 hours</v>
      </c>
      <c r="L604" t="s">
        <v>13</v>
      </c>
      <c r="M604">
        <v>1</v>
      </c>
      <c r="N604">
        <v>1</v>
      </c>
      <c r="O604">
        <v>3</v>
      </c>
      <c r="P604">
        <v>0</v>
      </c>
    </row>
    <row r="605" spans="1:16" x14ac:dyDescent="0.25">
      <c r="A605">
        <v>16</v>
      </c>
      <c r="B605" t="s">
        <v>11</v>
      </c>
      <c r="C605">
        <v>6.9</v>
      </c>
      <c r="D605" t="str">
        <f t="shared" si="27"/>
        <v>Medium</v>
      </c>
      <c r="E605" t="s">
        <v>12</v>
      </c>
      <c r="F605" s="1">
        <v>6.8</v>
      </c>
      <c r="G605" t="str">
        <f t="shared" si="28"/>
        <v>Low</v>
      </c>
      <c r="H605">
        <v>1.1000000000000001</v>
      </c>
      <c r="I605">
        <v>3.33</v>
      </c>
      <c r="J605" s="1">
        <v>1</v>
      </c>
      <c r="K605" t="str">
        <f t="shared" si="29"/>
        <v>0-1 hours</v>
      </c>
      <c r="L605" t="s">
        <v>17</v>
      </c>
      <c r="M605">
        <v>7</v>
      </c>
      <c r="N605">
        <v>9</v>
      </c>
      <c r="O605">
        <v>4</v>
      </c>
      <c r="P605">
        <v>0</v>
      </c>
    </row>
    <row r="606" spans="1:16" x14ac:dyDescent="0.25">
      <c r="A606">
        <v>16</v>
      </c>
      <c r="B606" t="s">
        <v>14</v>
      </c>
      <c r="C606">
        <v>5.6</v>
      </c>
      <c r="D606" t="str">
        <f t="shared" si="27"/>
        <v>Medium</v>
      </c>
      <c r="E606" t="s">
        <v>15</v>
      </c>
      <c r="F606" s="1">
        <v>7.9</v>
      </c>
      <c r="G606" t="str">
        <f t="shared" si="28"/>
        <v>Low</v>
      </c>
      <c r="H606">
        <v>2</v>
      </c>
      <c r="I606">
        <v>3.91</v>
      </c>
      <c r="J606" s="1">
        <v>0.6</v>
      </c>
      <c r="K606" t="str">
        <f t="shared" si="29"/>
        <v>0-1 hours</v>
      </c>
      <c r="L606" t="s">
        <v>17</v>
      </c>
      <c r="M606">
        <v>7</v>
      </c>
      <c r="N606">
        <v>3</v>
      </c>
      <c r="O606">
        <v>10</v>
      </c>
      <c r="P606">
        <v>0</v>
      </c>
    </row>
    <row r="607" spans="1:16" x14ac:dyDescent="0.25">
      <c r="A607">
        <v>16</v>
      </c>
      <c r="B607" t="s">
        <v>14</v>
      </c>
      <c r="C607">
        <v>5.2</v>
      </c>
      <c r="D607" t="str">
        <f t="shared" si="27"/>
        <v>Medium</v>
      </c>
      <c r="E607" t="s">
        <v>15</v>
      </c>
      <c r="F607" s="1">
        <v>8.1</v>
      </c>
      <c r="G607" t="str">
        <f t="shared" si="28"/>
        <v>Normal</v>
      </c>
      <c r="H607">
        <v>2.1</v>
      </c>
      <c r="I607">
        <v>2.67</v>
      </c>
      <c r="J607" s="1">
        <v>1.7</v>
      </c>
      <c r="K607" t="str">
        <f t="shared" si="29"/>
        <v>1-2 hours</v>
      </c>
      <c r="L607" t="s">
        <v>17</v>
      </c>
      <c r="M607">
        <v>9</v>
      </c>
      <c r="N607">
        <v>10</v>
      </c>
      <c r="O607">
        <v>10</v>
      </c>
      <c r="P607">
        <v>0</v>
      </c>
    </row>
    <row r="608" spans="1:16" x14ac:dyDescent="0.25">
      <c r="A608">
        <v>17</v>
      </c>
      <c r="B608" t="s">
        <v>11</v>
      </c>
      <c r="C608">
        <v>4.5</v>
      </c>
      <c r="D608" t="str">
        <f t="shared" si="27"/>
        <v>Medium</v>
      </c>
      <c r="E608" t="s">
        <v>18</v>
      </c>
      <c r="F608" s="1">
        <v>4.9000000000000004</v>
      </c>
      <c r="G608" t="str">
        <f t="shared" si="28"/>
        <v>Low</v>
      </c>
      <c r="H608">
        <v>0.5</v>
      </c>
      <c r="I608">
        <v>3.44</v>
      </c>
      <c r="J608" s="1">
        <v>1.2</v>
      </c>
      <c r="K608" t="str">
        <f t="shared" si="29"/>
        <v>1-2 hours</v>
      </c>
      <c r="L608" t="s">
        <v>17</v>
      </c>
      <c r="M608">
        <v>5</v>
      </c>
      <c r="N608">
        <v>3</v>
      </c>
      <c r="O608">
        <v>1</v>
      </c>
      <c r="P608">
        <v>0</v>
      </c>
    </row>
    <row r="609" spans="1:16" x14ac:dyDescent="0.25">
      <c r="A609">
        <v>14</v>
      </c>
      <c r="B609" t="s">
        <v>11</v>
      </c>
      <c r="C609">
        <v>3.6</v>
      </c>
      <c r="D609" t="str">
        <f t="shared" si="27"/>
        <v>Medium</v>
      </c>
      <c r="E609" t="s">
        <v>15</v>
      </c>
      <c r="F609" s="1">
        <v>4</v>
      </c>
      <c r="G609" t="str">
        <f t="shared" si="28"/>
        <v>Low</v>
      </c>
      <c r="H609">
        <v>1.4</v>
      </c>
      <c r="I609">
        <v>3.83</v>
      </c>
      <c r="J609" s="1">
        <v>0.5</v>
      </c>
      <c r="K609" t="str">
        <f t="shared" si="29"/>
        <v>0-1 hours</v>
      </c>
      <c r="L609" t="s">
        <v>17</v>
      </c>
      <c r="M609">
        <v>1</v>
      </c>
      <c r="N609">
        <v>5</v>
      </c>
      <c r="O609">
        <v>2</v>
      </c>
      <c r="P609">
        <v>0</v>
      </c>
    </row>
    <row r="610" spans="1:16" x14ac:dyDescent="0.25">
      <c r="A610">
        <v>19</v>
      </c>
      <c r="B610" t="s">
        <v>11</v>
      </c>
      <c r="C610">
        <v>7.2</v>
      </c>
      <c r="D610" t="str">
        <f t="shared" si="27"/>
        <v>High</v>
      </c>
      <c r="E610" t="s">
        <v>12</v>
      </c>
      <c r="F610" s="1">
        <v>5</v>
      </c>
      <c r="G610" t="str">
        <f t="shared" si="28"/>
        <v>Low</v>
      </c>
      <c r="H610">
        <v>2.2000000000000002</v>
      </c>
      <c r="I610">
        <v>2.5</v>
      </c>
      <c r="J610" s="1">
        <v>0.7</v>
      </c>
      <c r="K610" t="str">
        <f t="shared" si="29"/>
        <v>0-1 hours</v>
      </c>
      <c r="L610" t="s">
        <v>16</v>
      </c>
      <c r="M610">
        <v>6</v>
      </c>
      <c r="N610">
        <v>9</v>
      </c>
      <c r="O610">
        <v>2</v>
      </c>
      <c r="P610">
        <v>0</v>
      </c>
    </row>
    <row r="611" spans="1:16" x14ac:dyDescent="0.25">
      <c r="A611">
        <v>17</v>
      </c>
      <c r="B611" t="s">
        <v>11</v>
      </c>
      <c r="C611">
        <v>6.4</v>
      </c>
      <c r="D611" t="str">
        <f t="shared" si="27"/>
        <v>Medium</v>
      </c>
      <c r="E611" t="s">
        <v>15</v>
      </c>
      <c r="F611" s="1">
        <v>8.6</v>
      </c>
      <c r="G611" t="str">
        <f t="shared" si="28"/>
        <v>Normal</v>
      </c>
      <c r="H611">
        <v>2.2999999999999998</v>
      </c>
      <c r="I611">
        <v>2.57</v>
      </c>
      <c r="J611" s="1">
        <v>1.3</v>
      </c>
      <c r="K611" t="str">
        <f t="shared" si="29"/>
        <v>1-2 hours</v>
      </c>
      <c r="L611" t="s">
        <v>13</v>
      </c>
      <c r="M611">
        <v>9</v>
      </c>
      <c r="N611">
        <v>10</v>
      </c>
      <c r="O611">
        <v>5</v>
      </c>
      <c r="P611">
        <v>0</v>
      </c>
    </row>
    <row r="612" spans="1:16" x14ac:dyDescent="0.25">
      <c r="A612">
        <v>15</v>
      </c>
      <c r="B612" t="s">
        <v>11</v>
      </c>
      <c r="C612">
        <v>7.1</v>
      </c>
      <c r="D612" t="str">
        <f t="shared" si="27"/>
        <v>High</v>
      </c>
      <c r="E612" t="s">
        <v>18</v>
      </c>
      <c r="F612" s="1">
        <v>6.5</v>
      </c>
      <c r="G612" t="str">
        <f t="shared" si="28"/>
        <v>Low</v>
      </c>
      <c r="H612">
        <v>0.7</v>
      </c>
      <c r="I612">
        <v>3.94</v>
      </c>
      <c r="J612" s="1">
        <v>0.2</v>
      </c>
      <c r="K612" t="str">
        <f t="shared" si="29"/>
        <v>0-1 hours</v>
      </c>
      <c r="L612" t="s">
        <v>17</v>
      </c>
      <c r="M612">
        <v>4</v>
      </c>
      <c r="N612">
        <v>7</v>
      </c>
      <c r="O612">
        <v>1</v>
      </c>
      <c r="P612">
        <v>0</v>
      </c>
    </row>
    <row r="613" spans="1:16" x14ac:dyDescent="0.25">
      <c r="A613">
        <v>18</v>
      </c>
      <c r="B613" t="s">
        <v>11</v>
      </c>
      <c r="C613">
        <v>1.2</v>
      </c>
      <c r="D613" t="str">
        <f t="shared" si="27"/>
        <v>Low</v>
      </c>
      <c r="E613" t="s">
        <v>18</v>
      </c>
      <c r="F613" s="1">
        <v>4.0999999999999996</v>
      </c>
      <c r="G613" t="str">
        <f t="shared" si="28"/>
        <v>Low</v>
      </c>
      <c r="H613">
        <v>1.1000000000000001</v>
      </c>
      <c r="I613">
        <v>3.04</v>
      </c>
      <c r="J613" s="1">
        <v>1.6</v>
      </c>
      <c r="K613" t="str">
        <f t="shared" si="29"/>
        <v>1-2 hours</v>
      </c>
      <c r="L613" t="s">
        <v>13</v>
      </c>
      <c r="M613">
        <v>1</v>
      </c>
      <c r="N613">
        <v>3</v>
      </c>
      <c r="O613">
        <v>6</v>
      </c>
      <c r="P613">
        <v>0</v>
      </c>
    </row>
    <row r="614" spans="1:16" x14ac:dyDescent="0.25">
      <c r="A614">
        <v>19</v>
      </c>
      <c r="B614" t="s">
        <v>11</v>
      </c>
      <c r="C614">
        <v>6.6</v>
      </c>
      <c r="D614" t="str">
        <f t="shared" si="27"/>
        <v>Medium</v>
      </c>
      <c r="E614" t="s">
        <v>15</v>
      </c>
      <c r="F614" s="1">
        <v>8.8000000000000007</v>
      </c>
      <c r="G614" t="str">
        <f t="shared" si="28"/>
        <v>Normal</v>
      </c>
      <c r="H614">
        <v>0.9</v>
      </c>
      <c r="I614">
        <v>3.84</v>
      </c>
      <c r="J614" s="1">
        <v>0.3</v>
      </c>
      <c r="K614" t="str">
        <f t="shared" si="29"/>
        <v>0-1 hours</v>
      </c>
      <c r="L614" t="s">
        <v>16</v>
      </c>
      <c r="M614">
        <v>10</v>
      </c>
      <c r="N614">
        <v>10</v>
      </c>
      <c r="O614">
        <v>6</v>
      </c>
      <c r="P614">
        <v>0</v>
      </c>
    </row>
    <row r="615" spans="1:16" x14ac:dyDescent="0.25">
      <c r="A615">
        <v>19</v>
      </c>
      <c r="B615" t="s">
        <v>14</v>
      </c>
      <c r="C615">
        <v>6.5</v>
      </c>
      <c r="D615" t="str">
        <f t="shared" si="27"/>
        <v>Medium</v>
      </c>
      <c r="E615" t="s">
        <v>15</v>
      </c>
      <c r="F615" s="1">
        <v>6.4</v>
      </c>
      <c r="G615" t="str">
        <f t="shared" si="28"/>
        <v>Low</v>
      </c>
      <c r="H615">
        <v>1.1000000000000001</v>
      </c>
      <c r="I615">
        <v>3.71</v>
      </c>
      <c r="J615" s="1">
        <v>1.2</v>
      </c>
      <c r="K615" t="str">
        <f t="shared" si="29"/>
        <v>1-2 hours</v>
      </c>
      <c r="L615" t="s">
        <v>13</v>
      </c>
      <c r="M615">
        <v>8</v>
      </c>
      <c r="N615">
        <v>9</v>
      </c>
      <c r="O615">
        <v>8</v>
      </c>
      <c r="P615">
        <v>0</v>
      </c>
    </row>
    <row r="616" spans="1:16" x14ac:dyDescent="0.25">
      <c r="A616">
        <v>16</v>
      </c>
      <c r="B616" t="s">
        <v>11</v>
      </c>
      <c r="C616">
        <v>2</v>
      </c>
      <c r="D616" t="str">
        <f t="shared" si="27"/>
        <v>Medium</v>
      </c>
      <c r="E616" t="s">
        <v>15</v>
      </c>
      <c r="F616" s="1">
        <v>4.4000000000000004</v>
      </c>
      <c r="G616" t="str">
        <f t="shared" si="28"/>
        <v>Low</v>
      </c>
      <c r="H616">
        <v>0.7</v>
      </c>
      <c r="I616">
        <v>2.68</v>
      </c>
      <c r="J616" s="1">
        <v>0.8</v>
      </c>
      <c r="K616" t="str">
        <f t="shared" si="29"/>
        <v>0-1 hours</v>
      </c>
      <c r="L616" t="s">
        <v>17</v>
      </c>
      <c r="M616">
        <v>1</v>
      </c>
      <c r="N616">
        <v>4</v>
      </c>
      <c r="O616">
        <v>10</v>
      </c>
      <c r="P616">
        <v>0</v>
      </c>
    </row>
    <row r="617" spans="1:16" x14ac:dyDescent="0.25">
      <c r="A617">
        <v>13</v>
      </c>
      <c r="B617" t="s">
        <v>11</v>
      </c>
      <c r="C617">
        <v>2.5</v>
      </c>
      <c r="D617" t="str">
        <f t="shared" si="27"/>
        <v>Medium</v>
      </c>
      <c r="E617" t="s">
        <v>12</v>
      </c>
      <c r="F617" s="1">
        <v>5.3</v>
      </c>
      <c r="G617" t="str">
        <f t="shared" si="28"/>
        <v>Low</v>
      </c>
      <c r="H617">
        <v>0.8</v>
      </c>
      <c r="I617">
        <v>3.12</v>
      </c>
      <c r="J617" s="1">
        <v>0.4</v>
      </c>
      <c r="K617" t="str">
        <f t="shared" si="29"/>
        <v>0-1 hours</v>
      </c>
      <c r="L617" t="s">
        <v>16</v>
      </c>
      <c r="M617">
        <v>3</v>
      </c>
      <c r="N617">
        <v>5</v>
      </c>
      <c r="O617">
        <v>3</v>
      </c>
      <c r="P617">
        <v>0</v>
      </c>
    </row>
    <row r="618" spans="1:16" x14ac:dyDescent="0.25">
      <c r="A618">
        <v>19</v>
      </c>
      <c r="B618" t="s">
        <v>11</v>
      </c>
      <c r="C618">
        <v>2.1</v>
      </c>
      <c r="D618" t="str">
        <f t="shared" si="27"/>
        <v>Medium</v>
      </c>
      <c r="E618" t="s">
        <v>12</v>
      </c>
      <c r="F618" s="1">
        <v>8.8000000000000007</v>
      </c>
      <c r="G618" t="str">
        <f t="shared" si="28"/>
        <v>Normal</v>
      </c>
      <c r="H618">
        <v>2.2999999999999998</v>
      </c>
      <c r="I618">
        <v>2.2200000000000002</v>
      </c>
      <c r="J618" s="1">
        <v>1.2</v>
      </c>
      <c r="K618" t="str">
        <f t="shared" si="29"/>
        <v>1-2 hours</v>
      </c>
      <c r="L618" t="s">
        <v>16</v>
      </c>
      <c r="M618">
        <v>5</v>
      </c>
      <c r="N618">
        <v>5</v>
      </c>
      <c r="O618">
        <v>3</v>
      </c>
      <c r="P618">
        <v>0</v>
      </c>
    </row>
    <row r="619" spans="1:16" x14ac:dyDescent="0.25">
      <c r="A619">
        <v>16</v>
      </c>
      <c r="B619" t="s">
        <v>14</v>
      </c>
      <c r="C619">
        <v>7.1</v>
      </c>
      <c r="D619" t="str">
        <f t="shared" si="27"/>
        <v>High</v>
      </c>
      <c r="E619" t="s">
        <v>15</v>
      </c>
      <c r="F619" s="1">
        <v>8.8000000000000007</v>
      </c>
      <c r="G619" t="str">
        <f t="shared" si="28"/>
        <v>Normal</v>
      </c>
      <c r="H619">
        <v>1.8</v>
      </c>
      <c r="I619">
        <v>3.99</v>
      </c>
      <c r="J619" s="1">
        <v>0.8</v>
      </c>
      <c r="K619" t="str">
        <f t="shared" si="29"/>
        <v>0-1 hours</v>
      </c>
      <c r="L619" t="s">
        <v>13</v>
      </c>
      <c r="M619">
        <v>6</v>
      </c>
      <c r="N619">
        <v>10</v>
      </c>
      <c r="O619">
        <v>8</v>
      </c>
      <c r="P619">
        <v>0</v>
      </c>
    </row>
    <row r="620" spans="1:16" x14ac:dyDescent="0.25">
      <c r="A620">
        <v>19</v>
      </c>
      <c r="B620" t="s">
        <v>14</v>
      </c>
      <c r="C620">
        <v>6.8</v>
      </c>
      <c r="D620" t="str">
        <f t="shared" si="27"/>
        <v>Medium</v>
      </c>
      <c r="E620" t="s">
        <v>18</v>
      </c>
      <c r="F620" s="1">
        <v>4.4000000000000004</v>
      </c>
      <c r="G620" t="str">
        <f t="shared" si="28"/>
        <v>Low</v>
      </c>
      <c r="H620">
        <v>2.1</v>
      </c>
      <c r="I620">
        <v>3.69</v>
      </c>
      <c r="J620" s="1">
        <v>0.4</v>
      </c>
      <c r="K620" t="str">
        <f t="shared" si="29"/>
        <v>0-1 hours</v>
      </c>
      <c r="L620" t="s">
        <v>16</v>
      </c>
      <c r="M620">
        <v>3</v>
      </c>
      <c r="N620">
        <v>2</v>
      </c>
      <c r="O620">
        <v>8</v>
      </c>
      <c r="P620">
        <v>0</v>
      </c>
    </row>
    <row r="621" spans="1:16" x14ac:dyDescent="0.25">
      <c r="A621">
        <v>13</v>
      </c>
      <c r="B621" t="s">
        <v>11</v>
      </c>
      <c r="C621">
        <v>5.2</v>
      </c>
      <c r="D621" t="str">
        <f t="shared" si="27"/>
        <v>Medium</v>
      </c>
      <c r="E621" t="s">
        <v>18</v>
      </c>
      <c r="F621" s="1">
        <v>5.4</v>
      </c>
      <c r="G621" t="str">
        <f t="shared" si="28"/>
        <v>Low</v>
      </c>
      <c r="H621">
        <v>0.8</v>
      </c>
      <c r="I621">
        <v>2.39</v>
      </c>
      <c r="J621" s="1">
        <v>2</v>
      </c>
      <c r="K621" t="str">
        <f t="shared" si="29"/>
        <v>1-2 hours</v>
      </c>
      <c r="L621" t="s">
        <v>13</v>
      </c>
      <c r="M621">
        <v>8</v>
      </c>
      <c r="N621">
        <v>3</v>
      </c>
      <c r="O621">
        <v>10</v>
      </c>
      <c r="P621">
        <v>0</v>
      </c>
    </row>
    <row r="622" spans="1:16" x14ac:dyDescent="0.25">
      <c r="A622">
        <v>19</v>
      </c>
      <c r="B622" t="s">
        <v>11</v>
      </c>
      <c r="C622">
        <v>7</v>
      </c>
      <c r="D622" t="str">
        <f t="shared" si="27"/>
        <v>High</v>
      </c>
      <c r="E622" t="s">
        <v>15</v>
      </c>
      <c r="F622" s="1">
        <v>4.5</v>
      </c>
      <c r="G622" t="str">
        <f t="shared" si="28"/>
        <v>Low</v>
      </c>
      <c r="H622">
        <v>2.2999999999999998</v>
      </c>
      <c r="I622">
        <v>3.26</v>
      </c>
      <c r="J622" s="1">
        <v>1.7</v>
      </c>
      <c r="K622" t="str">
        <f t="shared" si="29"/>
        <v>1-2 hours</v>
      </c>
      <c r="L622" t="s">
        <v>16</v>
      </c>
      <c r="M622">
        <v>9</v>
      </c>
      <c r="N622">
        <v>10</v>
      </c>
      <c r="O622">
        <v>3</v>
      </c>
      <c r="P622">
        <v>1</v>
      </c>
    </row>
    <row r="623" spans="1:16" x14ac:dyDescent="0.25">
      <c r="A623">
        <v>19</v>
      </c>
      <c r="B623" t="s">
        <v>11</v>
      </c>
      <c r="C623">
        <v>6.8</v>
      </c>
      <c r="D623" t="str">
        <f t="shared" si="27"/>
        <v>Medium</v>
      </c>
      <c r="E623" t="s">
        <v>15</v>
      </c>
      <c r="F623" s="1">
        <v>8.4</v>
      </c>
      <c r="G623" t="str">
        <f t="shared" si="28"/>
        <v>Normal</v>
      </c>
      <c r="H623">
        <v>2</v>
      </c>
      <c r="I623">
        <v>2.6</v>
      </c>
      <c r="J623" s="1">
        <v>1.5</v>
      </c>
      <c r="K623" t="str">
        <f t="shared" si="29"/>
        <v>1-2 hours</v>
      </c>
      <c r="L623" t="s">
        <v>13</v>
      </c>
      <c r="M623">
        <v>7</v>
      </c>
      <c r="N623">
        <v>2</v>
      </c>
      <c r="O623">
        <v>2</v>
      </c>
      <c r="P623">
        <v>0</v>
      </c>
    </row>
    <row r="624" spans="1:16" x14ac:dyDescent="0.25">
      <c r="A624">
        <v>16</v>
      </c>
      <c r="B624" t="s">
        <v>14</v>
      </c>
      <c r="C624">
        <v>3.8</v>
      </c>
      <c r="D624" t="str">
        <f t="shared" si="27"/>
        <v>Medium</v>
      </c>
      <c r="E624" t="s">
        <v>15</v>
      </c>
      <c r="F624" s="1">
        <v>5.3</v>
      </c>
      <c r="G624" t="str">
        <f t="shared" si="28"/>
        <v>Low</v>
      </c>
      <c r="H624">
        <v>1.5</v>
      </c>
      <c r="I624">
        <v>2.04</v>
      </c>
      <c r="J624" s="1">
        <v>1.5</v>
      </c>
      <c r="K624" t="str">
        <f t="shared" si="29"/>
        <v>1-2 hours</v>
      </c>
      <c r="L624" t="s">
        <v>16</v>
      </c>
      <c r="M624">
        <v>5</v>
      </c>
      <c r="N624">
        <v>10</v>
      </c>
      <c r="O624">
        <v>5</v>
      </c>
      <c r="P624">
        <v>0</v>
      </c>
    </row>
    <row r="625" spans="1:16" x14ac:dyDescent="0.25">
      <c r="A625">
        <v>14</v>
      </c>
      <c r="B625" t="s">
        <v>11</v>
      </c>
      <c r="C625">
        <v>2.9</v>
      </c>
      <c r="D625" t="str">
        <f t="shared" si="27"/>
        <v>Medium</v>
      </c>
      <c r="E625" t="s">
        <v>12</v>
      </c>
      <c r="F625" s="1">
        <v>7.2</v>
      </c>
      <c r="G625" t="str">
        <f t="shared" si="28"/>
        <v>Low</v>
      </c>
      <c r="H625">
        <v>2</v>
      </c>
      <c r="I625">
        <v>3.96</v>
      </c>
      <c r="J625" s="1">
        <v>1.5</v>
      </c>
      <c r="K625" t="str">
        <f t="shared" si="29"/>
        <v>1-2 hours</v>
      </c>
      <c r="L625" t="s">
        <v>17</v>
      </c>
      <c r="M625">
        <v>9</v>
      </c>
      <c r="N625">
        <v>10</v>
      </c>
      <c r="O625">
        <v>4</v>
      </c>
      <c r="P625">
        <v>0</v>
      </c>
    </row>
    <row r="626" spans="1:16" x14ac:dyDescent="0.25">
      <c r="A626">
        <v>16</v>
      </c>
      <c r="B626" t="s">
        <v>11</v>
      </c>
      <c r="C626">
        <v>3.6</v>
      </c>
      <c r="D626" t="str">
        <f t="shared" si="27"/>
        <v>Medium</v>
      </c>
      <c r="E626" t="s">
        <v>12</v>
      </c>
      <c r="F626" s="1">
        <v>6.6</v>
      </c>
      <c r="G626" t="str">
        <f t="shared" si="28"/>
        <v>Low</v>
      </c>
      <c r="H626">
        <v>0.7</v>
      </c>
      <c r="I626">
        <v>2.25</v>
      </c>
      <c r="J626" s="1">
        <v>1.9</v>
      </c>
      <c r="K626" t="str">
        <f t="shared" si="29"/>
        <v>1-2 hours</v>
      </c>
      <c r="L626" t="s">
        <v>13</v>
      </c>
      <c r="M626">
        <v>4</v>
      </c>
      <c r="N626">
        <v>1</v>
      </c>
      <c r="O626">
        <v>8</v>
      </c>
      <c r="P626">
        <v>0</v>
      </c>
    </row>
    <row r="627" spans="1:16" x14ac:dyDescent="0.25">
      <c r="A627">
        <v>13</v>
      </c>
      <c r="B627" t="s">
        <v>11</v>
      </c>
      <c r="C627">
        <v>4</v>
      </c>
      <c r="D627" t="str">
        <f t="shared" si="27"/>
        <v>Medium</v>
      </c>
      <c r="E627" t="s">
        <v>18</v>
      </c>
      <c r="F627" s="1">
        <v>8.3000000000000007</v>
      </c>
      <c r="G627" t="str">
        <f t="shared" si="28"/>
        <v>Normal</v>
      </c>
      <c r="H627">
        <v>0.6</v>
      </c>
      <c r="I627">
        <v>3.71</v>
      </c>
      <c r="J627" s="1">
        <v>0.1</v>
      </c>
      <c r="K627" t="str">
        <f t="shared" si="29"/>
        <v>0-1 hours</v>
      </c>
      <c r="L627" t="s">
        <v>13</v>
      </c>
      <c r="M627">
        <v>2</v>
      </c>
      <c r="N627">
        <v>6</v>
      </c>
      <c r="O627">
        <v>1</v>
      </c>
      <c r="P627">
        <v>0</v>
      </c>
    </row>
    <row r="628" spans="1:16" x14ac:dyDescent="0.25">
      <c r="A628">
        <v>17</v>
      </c>
      <c r="B628" t="s">
        <v>14</v>
      </c>
      <c r="C628">
        <v>7.5</v>
      </c>
      <c r="D628" t="str">
        <f t="shared" si="27"/>
        <v>High</v>
      </c>
      <c r="E628" t="s">
        <v>18</v>
      </c>
      <c r="F628" s="1">
        <v>4.7</v>
      </c>
      <c r="G628" t="str">
        <f t="shared" si="28"/>
        <v>Low</v>
      </c>
      <c r="H628">
        <v>2.1</v>
      </c>
      <c r="I628">
        <v>2.5499999999999998</v>
      </c>
      <c r="J628" s="1">
        <v>0.1</v>
      </c>
      <c r="K628" t="str">
        <f t="shared" si="29"/>
        <v>0-1 hours</v>
      </c>
      <c r="L628" t="s">
        <v>16</v>
      </c>
      <c r="M628">
        <v>3</v>
      </c>
      <c r="N628">
        <v>9</v>
      </c>
      <c r="O628">
        <v>1</v>
      </c>
      <c r="P628">
        <v>0</v>
      </c>
    </row>
    <row r="629" spans="1:16" x14ac:dyDescent="0.25">
      <c r="A629">
        <v>16</v>
      </c>
      <c r="B629" t="s">
        <v>14</v>
      </c>
      <c r="C629">
        <v>6</v>
      </c>
      <c r="D629" t="str">
        <f t="shared" si="27"/>
        <v>Medium</v>
      </c>
      <c r="E629" t="s">
        <v>18</v>
      </c>
      <c r="F629" s="1">
        <v>8.6999999999999993</v>
      </c>
      <c r="G629" t="str">
        <f t="shared" si="28"/>
        <v>Normal</v>
      </c>
      <c r="H629">
        <v>1.5</v>
      </c>
      <c r="I629">
        <v>3.76</v>
      </c>
      <c r="J629" s="1">
        <v>0.1</v>
      </c>
      <c r="K629" t="str">
        <f t="shared" si="29"/>
        <v>0-1 hours</v>
      </c>
      <c r="L629" t="s">
        <v>17</v>
      </c>
      <c r="M629">
        <v>2</v>
      </c>
      <c r="N629">
        <v>5</v>
      </c>
      <c r="O629">
        <v>4</v>
      </c>
      <c r="P629">
        <v>0</v>
      </c>
    </row>
    <row r="630" spans="1:16" x14ac:dyDescent="0.25">
      <c r="A630">
        <v>16</v>
      </c>
      <c r="B630" t="s">
        <v>14</v>
      </c>
      <c r="C630">
        <v>3.6</v>
      </c>
      <c r="D630" t="str">
        <f t="shared" si="27"/>
        <v>Medium</v>
      </c>
      <c r="E630" t="s">
        <v>12</v>
      </c>
      <c r="F630" s="1">
        <v>6.1</v>
      </c>
      <c r="G630" t="str">
        <f t="shared" si="28"/>
        <v>Low</v>
      </c>
      <c r="H630">
        <v>2.8</v>
      </c>
      <c r="I630">
        <v>3.8</v>
      </c>
      <c r="J630" s="1">
        <v>0.1</v>
      </c>
      <c r="K630" t="str">
        <f t="shared" si="29"/>
        <v>0-1 hours</v>
      </c>
      <c r="L630" t="s">
        <v>16</v>
      </c>
      <c r="M630">
        <v>2</v>
      </c>
      <c r="N630">
        <v>1</v>
      </c>
      <c r="O630">
        <v>7</v>
      </c>
      <c r="P630">
        <v>0</v>
      </c>
    </row>
    <row r="631" spans="1:16" x14ac:dyDescent="0.25">
      <c r="A631">
        <v>19</v>
      </c>
      <c r="B631" t="s">
        <v>11</v>
      </c>
      <c r="C631">
        <v>4.7</v>
      </c>
      <c r="D631" t="str">
        <f t="shared" si="27"/>
        <v>Medium</v>
      </c>
      <c r="E631" t="s">
        <v>18</v>
      </c>
      <c r="F631" s="1">
        <v>8.1999999999999993</v>
      </c>
      <c r="G631" t="str">
        <f t="shared" si="28"/>
        <v>Normal</v>
      </c>
      <c r="H631">
        <v>1.2</v>
      </c>
      <c r="I631">
        <v>2.83</v>
      </c>
      <c r="J631" s="1">
        <v>1.2</v>
      </c>
      <c r="K631" t="str">
        <f t="shared" si="29"/>
        <v>1-2 hours</v>
      </c>
      <c r="L631" t="s">
        <v>16</v>
      </c>
      <c r="M631">
        <v>5</v>
      </c>
      <c r="N631">
        <v>9</v>
      </c>
      <c r="O631">
        <v>9</v>
      </c>
      <c r="P631">
        <v>0</v>
      </c>
    </row>
    <row r="632" spans="1:16" x14ac:dyDescent="0.25">
      <c r="A632">
        <v>13</v>
      </c>
      <c r="B632" t="s">
        <v>11</v>
      </c>
      <c r="C632">
        <v>2</v>
      </c>
      <c r="D632" t="str">
        <f t="shared" si="27"/>
        <v>Medium</v>
      </c>
      <c r="E632" t="s">
        <v>12</v>
      </c>
      <c r="F632" s="1">
        <v>6.6</v>
      </c>
      <c r="G632" t="str">
        <f t="shared" si="28"/>
        <v>Low</v>
      </c>
      <c r="H632">
        <v>0.9</v>
      </c>
      <c r="I632">
        <v>3.34</v>
      </c>
      <c r="J632" s="1">
        <v>1.5</v>
      </c>
      <c r="K632" t="str">
        <f t="shared" si="29"/>
        <v>1-2 hours</v>
      </c>
      <c r="L632" t="s">
        <v>16</v>
      </c>
      <c r="M632">
        <v>5</v>
      </c>
      <c r="N632">
        <v>9</v>
      </c>
      <c r="O632">
        <v>4</v>
      </c>
      <c r="P632">
        <v>0</v>
      </c>
    </row>
    <row r="633" spans="1:16" x14ac:dyDescent="0.25">
      <c r="A633">
        <v>13</v>
      </c>
      <c r="B633" t="s">
        <v>11</v>
      </c>
      <c r="C633">
        <v>7.8</v>
      </c>
      <c r="D633" t="str">
        <f t="shared" si="27"/>
        <v>High</v>
      </c>
      <c r="E633" t="s">
        <v>15</v>
      </c>
      <c r="F633" s="1">
        <v>7.2</v>
      </c>
      <c r="G633" t="str">
        <f t="shared" si="28"/>
        <v>Low</v>
      </c>
      <c r="H633">
        <v>1.3</v>
      </c>
      <c r="I633">
        <v>3.31</v>
      </c>
      <c r="J633" s="1">
        <v>0.8</v>
      </c>
      <c r="K633" t="str">
        <f t="shared" si="29"/>
        <v>0-1 hours</v>
      </c>
      <c r="L633" t="s">
        <v>16</v>
      </c>
      <c r="M633">
        <v>9</v>
      </c>
      <c r="N633">
        <v>2</v>
      </c>
      <c r="O633">
        <v>4</v>
      </c>
      <c r="P633">
        <v>0</v>
      </c>
    </row>
    <row r="634" spans="1:16" x14ac:dyDescent="0.25">
      <c r="A634">
        <v>19</v>
      </c>
      <c r="B634" t="s">
        <v>11</v>
      </c>
      <c r="C634">
        <v>5.9</v>
      </c>
      <c r="D634" t="str">
        <f t="shared" si="27"/>
        <v>Medium</v>
      </c>
      <c r="E634" t="s">
        <v>15</v>
      </c>
      <c r="F634" s="1">
        <v>7.4</v>
      </c>
      <c r="G634" t="str">
        <f t="shared" si="28"/>
        <v>Low</v>
      </c>
      <c r="H634">
        <v>0.7</v>
      </c>
      <c r="I634">
        <v>3.27</v>
      </c>
      <c r="J634" s="1">
        <v>1.7</v>
      </c>
      <c r="K634" t="str">
        <f t="shared" si="29"/>
        <v>1-2 hours</v>
      </c>
      <c r="L634" t="s">
        <v>16</v>
      </c>
      <c r="M634">
        <v>1</v>
      </c>
      <c r="N634">
        <v>9</v>
      </c>
      <c r="O634">
        <v>9</v>
      </c>
      <c r="P634">
        <v>0</v>
      </c>
    </row>
    <row r="635" spans="1:16" x14ac:dyDescent="0.25">
      <c r="A635">
        <v>19</v>
      </c>
      <c r="B635" t="s">
        <v>11</v>
      </c>
      <c r="C635">
        <v>7.7</v>
      </c>
      <c r="D635" t="str">
        <f t="shared" si="27"/>
        <v>High</v>
      </c>
      <c r="E635" t="s">
        <v>15</v>
      </c>
      <c r="F635" s="1">
        <v>8.4</v>
      </c>
      <c r="G635" t="str">
        <f t="shared" si="28"/>
        <v>Normal</v>
      </c>
      <c r="H635">
        <v>2.8</v>
      </c>
      <c r="I635">
        <v>3.43</v>
      </c>
      <c r="J635" s="1">
        <v>0.2</v>
      </c>
      <c r="K635" t="str">
        <f t="shared" si="29"/>
        <v>0-1 hours</v>
      </c>
      <c r="L635" t="s">
        <v>17</v>
      </c>
      <c r="M635">
        <v>7</v>
      </c>
      <c r="N635">
        <v>6</v>
      </c>
      <c r="O635">
        <v>6</v>
      </c>
      <c r="P635">
        <v>0</v>
      </c>
    </row>
    <row r="636" spans="1:16" x14ac:dyDescent="0.25">
      <c r="A636">
        <v>13</v>
      </c>
      <c r="B636" t="s">
        <v>11</v>
      </c>
      <c r="C636">
        <v>2.2000000000000002</v>
      </c>
      <c r="D636" t="str">
        <f t="shared" si="27"/>
        <v>Medium</v>
      </c>
      <c r="E636" t="s">
        <v>15</v>
      </c>
      <c r="F636" s="1">
        <v>5.4</v>
      </c>
      <c r="G636" t="str">
        <f t="shared" si="28"/>
        <v>Low</v>
      </c>
      <c r="H636">
        <v>1.2</v>
      </c>
      <c r="I636">
        <v>2.33</v>
      </c>
      <c r="J636" s="1">
        <v>0.8</v>
      </c>
      <c r="K636" t="str">
        <f t="shared" si="29"/>
        <v>0-1 hours</v>
      </c>
      <c r="L636" t="s">
        <v>17</v>
      </c>
      <c r="M636">
        <v>10</v>
      </c>
      <c r="N636">
        <v>3</v>
      </c>
      <c r="O636">
        <v>4</v>
      </c>
      <c r="P636">
        <v>0</v>
      </c>
    </row>
    <row r="637" spans="1:16" x14ac:dyDescent="0.25">
      <c r="A637">
        <v>18</v>
      </c>
      <c r="B637" t="s">
        <v>14</v>
      </c>
      <c r="C637">
        <v>7.7</v>
      </c>
      <c r="D637" t="str">
        <f t="shared" si="27"/>
        <v>High</v>
      </c>
      <c r="E637" t="s">
        <v>15</v>
      </c>
      <c r="F637" s="1">
        <v>7.6</v>
      </c>
      <c r="G637" t="str">
        <f t="shared" si="28"/>
        <v>Low</v>
      </c>
      <c r="H637">
        <v>2.9</v>
      </c>
      <c r="I637">
        <v>3.81</v>
      </c>
      <c r="J637" s="1">
        <v>0.5</v>
      </c>
      <c r="K637" t="str">
        <f t="shared" si="29"/>
        <v>0-1 hours</v>
      </c>
      <c r="L637" t="s">
        <v>16</v>
      </c>
      <c r="M637">
        <v>10</v>
      </c>
      <c r="N637">
        <v>3</v>
      </c>
      <c r="O637">
        <v>6</v>
      </c>
      <c r="P637">
        <v>0</v>
      </c>
    </row>
    <row r="638" spans="1:16" x14ac:dyDescent="0.25">
      <c r="A638">
        <v>18</v>
      </c>
      <c r="B638" t="s">
        <v>11</v>
      </c>
      <c r="C638">
        <v>3.2</v>
      </c>
      <c r="D638" t="str">
        <f t="shared" si="27"/>
        <v>Medium</v>
      </c>
      <c r="E638" t="s">
        <v>12</v>
      </c>
      <c r="F638" s="1">
        <v>6</v>
      </c>
      <c r="G638" t="str">
        <f t="shared" si="28"/>
        <v>Low</v>
      </c>
      <c r="H638">
        <v>1.5</v>
      </c>
      <c r="I638">
        <v>3.36</v>
      </c>
      <c r="J638" s="1">
        <v>1.5</v>
      </c>
      <c r="K638" t="str">
        <f t="shared" si="29"/>
        <v>1-2 hours</v>
      </c>
      <c r="L638" t="s">
        <v>16</v>
      </c>
      <c r="M638">
        <v>9</v>
      </c>
      <c r="N638">
        <v>7</v>
      </c>
      <c r="O638">
        <v>10</v>
      </c>
      <c r="P638">
        <v>0</v>
      </c>
    </row>
    <row r="639" spans="1:16" x14ac:dyDescent="0.25">
      <c r="A639">
        <v>16</v>
      </c>
      <c r="B639" t="s">
        <v>11</v>
      </c>
      <c r="C639">
        <v>2</v>
      </c>
      <c r="D639" t="str">
        <f t="shared" si="27"/>
        <v>Medium</v>
      </c>
      <c r="E639" t="s">
        <v>15</v>
      </c>
      <c r="F639" s="1">
        <v>7.8</v>
      </c>
      <c r="G639" t="str">
        <f t="shared" si="28"/>
        <v>Low</v>
      </c>
      <c r="H639">
        <v>0.5</v>
      </c>
      <c r="I639">
        <v>2.81</v>
      </c>
      <c r="J639" s="1">
        <v>1.4</v>
      </c>
      <c r="K639" t="str">
        <f t="shared" si="29"/>
        <v>1-2 hours</v>
      </c>
      <c r="L639" t="s">
        <v>16</v>
      </c>
      <c r="M639">
        <v>10</v>
      </c>
      <c r="N639">
        <v>2</v>
      </c>
      <c r="O639">
        <v>4</v>
      </c>
      <c r="P639">
        <v>0</v>
      </c>
    </row>
    <row r="640" spans="1:16" x14ac:dyDescent="0.25">
      <c r="A640">
        <v>15</v>
      </c>
      <c r="B640" t="s">
        <v>14</v>
      </c>
      <c r="C640">
        <v>6.2</v>
      </c>
      <c r="D640" t="str">
        <f t="shared" si="27"/>
        <v>Medium</v>
      </c>
      <c r="E640" t="s">
        <v>18</v>
      </c>
      <c r="F640" s="1">
        <v>5.2</v>
      </c>
      <c r="G640" t="str">
        <f t="shared" si="28"/>
        <v>Low</v>
      </c>
      <c r="H640">
        <v>1</v>
      </c>
      <c r="I640">
        <v>3.94</v>
      </c>
      <c r="J640" s="1">
        <v>1.4</v>
      </c>
      <c r="K640" t="str">
        <f t="shared" si="29"/>
        <v>1-2 hours</v>
      </c>
      <c r="L640" t="s">
        <v>13</v>
      </c>
      <c r="M640">
        <v>5</v>
      </c>
      <c r="N640">
        <v>2</v>
      </c>
      <c r="O640">
        <v>7</v>
      </c>
      <c r="P640">
        <v>0</v>
      </c>
    </row>
    <row r="641" spans="1:16" x14ac:dyDescent="0.25">
      <c r="A641">
        <v>19</v>
      </c>
      <c r="B641" t="s">
        <v>14</v>
      </c>
      <c r="C641">
        <v>2.4</v>
      </c>
      <c r="D641" t="str">
        <f t="shared" si="27"/>
        <v>Medium</v>
      </c>
      <c r="E641" t="s">
        <v>12</v>
      </c>
      <c r="F641" s="1">
        <v>8.6999999999999993</v>
      </c>
      <c r="G641" t="str">
        <f t="shared" si="28"/>
        <v>Normal</v>
      </c>
      <c r="H641">
        <v>1.6</v>
      </c>
      <c r="I641">
        <v>2.4</v>
      </c>
      <c r="J641" s="1">
        <v>0.1</v>
      </c>
      <c r="K641" t="str">
        <f t="shared" si="29"/>
        <v>0-1 hours</v>
      </c>
      <c r="L641" t="s">
        <v>17</v>
      </c>
      <c r="M641">
        <v>2</v>
      </c>
      <c r="N641">
        <v>9</v>
      </c>
      <c r="O641">
        <v>7</v>
      </c>
      <c r="P641">
        <v>0</v>
      </c>
    </row>
    <row r="642" spans="1:16" x14ac:dyDescent="0.25">
      <c r="A642">
        <v>15</v>
      </c>
      <c r="B642" t="s">
        <v>11</v>
      </c>
      <c r="C642">
        <v>3.4</v>
      </c>
      <c r="D642" t="str">
        <f t="shared" ref="D642:D705" si="30">IF(C642&lt;2,"Low",IF(C642&lt;7,"Medium","High"))</f>
        <v>Medium</v>
      </c>
      <c r="E642" t="s">
        <v>18</v>
      </c>
      <c r="F642" s="1">
        <v>8</v>
      </c>
      <c r="G642" t="str">
        <f t="shared" ref="G642:G705" si="31">IF(F642&gt;=8,"Normal","Low")</f>
        <v>Normal</v>
      </c>
      <c r="H642">
        <v>1</v>
      </c>
      <c r="I642">
        <v>2.31</v>
      </c>
      <c r="J642" s="1">
        <v>1</v>
      </c>
      <c r="K642" t="str">
        <f t="shared" ref="K642:K705" si="32">IF(J642=0,"No activity",IF(J642&lt;=1,"0-1 hours","1-2 hours"))</f>
        <v>0-1 hours</v>
      </c>
      <c r="L642" t="s">
        <v>16</v>
      </c>
      <c r="M642">
        <v>4</v>
      </c>
      <c r="N642">
        <v>7</v>
      </c>
      <c r="O642">
        <v>6</v>
      </c>
      <c r="P642">
        <v>0</v>
      </c>
    </row>
    <row r="643" spans="1:16" x14ac:dyDescent="0.25">
      <c r="A643">
        <v>19</v>
      </c>
      <c r="B643" t="s">
        <v>11</v>
      </c>
      <c r="C643">
        <v>6</v>
      </c>
      <c r="D643" t="str">
        <f t="shared" si="30"/>
        <v>Medium</v>
      </c>
      <c r="E643" t="s">
        <v>12</v>
      </c>
      <c r="F643" s="1">
        <v>4.2</v>
      </c>
      <c r="G643" t="str">
        <f t="shared" si="31"/>
        <v>Low</v>
      </c>
      <c r="H643">
        <v>0.9</v>
      </c>
      <c r="I643">
        <v>2.41</v>
      </c>
      <c r="J643" s="1">
        <v>0.8</v>
      </c>
      <c r="K643" t="str">
        <f t="shared" si="32"/>
        <v>0-1 hours</v>
      </c>
      <c r="L643" t="s">
        <v>17</v>
      </c>
      <c r="M643">
        <v>7</v>
      </c>
      <c r="N643">
        <v>9</v>
      </c>
      <c r="O643">
        <v>9</v>
      </c>
      <c r="P643">
        <v>1</v>
      </c>
    </row>
    <row r="644" spans="1:16" x14ac:dyDescent="0.25">
      <c r="A644">
        <v>16</v>
      </c>
      <c r="B644" t="s">
        <v>14</v>
      </c>
      <c r="C644">
        <v>5.3</v>
      </c>
      <c r="D644" t="str">
        <f t="shared" si="30"/>
        <v>Medium</v>
      </c>
      <c r="E644" t="s">
        <v>18</v>
      </c>
      <c r="F644" s="1">
        <v>5.6</v>
      </c>
      <c r="G644" t="str">
        <f t="shared" si="31"/>
        <v>Low</v>
      </c>
      <c r="H644">
        <v>2.5</v>
      </c>
      <c r="I644">
        <v>2.73</v>
      </c>
      <c r="J644" s="1">
        <v>1.3</v>
      </c>
      <c r="K644" t="str">
        <f t="shared" si="32"/>
        <v>1-2 hours</v>
      </c>
      <c r="L644" t="s">
        <v>17</v>
      </c>
      <c r="M644">
        <v>7</v>
      </c>
      <c r="N644">
        <v>10</v>
      </c>
      <c r="O644">
        <v>4</v>
      </c>
      <c r="P644">
        <v>1</v>
      </c>
    </row>
    <row r="645" spans="1:16" x14ac:dyDescent="0.25">
      <c r="A645">
        <v>17</v>
      </c>
      <c r="B645" t="s">
        <v>14</v>
      </c>
      <c r="C645">
        <v>5.5</v>
      </c>
      <c r="D645" t="str">
        <f t="shared" si="30"/>
        <v>Medium</v>
      </c>
      <c r="E645" t="s">
        <v>12</v>
      </c>
      <c r="F645" s="1">
        <v>6.3</v>
      </c>
      <c r="G645" t="str">
        <f t="shared" si="31"/>
        <v>Low</v>
      </c>
      <c r="H645">
        <v>0.8</v>
      </c>
      <c r="I645">
        <v>2.59</v>
      </c>
      <c r="J645" s="1">
        <v>1.6</v>
      </c>
      <c r="K645" t="str">
        <f t="shared" si="32"/>
        <v>1-2 hours</v>
      </c>
      <c r="L645" t="s">
        <v>16</v>
      </c>
      <c r="M645">
        <v>6</v>
      </c>
      <c r="N645">
        <v>8</v>
      </c>
      <c r="O645">
        <v>7</v>
      </c>
      <c r="P645">
        <v>0</v>
      </c>
    </row>
    <row r="646" spans="1:16" x14ac:dyDescent="0.25">
      <c r="A646">
        <v>17</v>
      </c>
      <c r="B646" t="s">
        <v>11</v>
      </c>
      <c r="C646">
        <v>3.6</v>
      </c>
      <c r="D646" t="str">
        <f t="shared" si="30"/>
        <v>Medium</v>
      </c>
      <c r="E646" t="s">
        <v>18</v>
      </c>
      <c r="F646" s="1">
        <v>6.1</v>
      </c>
      <c r="G646" t="str">
        <f t="shared" si="31"/>
        <v>Low</v>
      </c>
      <c r="H646">
        <v>2.8</v>
      </c>
      <c r="I646">
        <v>2.39</v>
      </c>
      <c r="J646" s="1">
        <v>0.6</v>
      </c>
      <c r="K646" t="str">
        <f t="shared" si="32"/>
        <v>0-1 hours</v>
      </c>
      <c r="L646" t="s">
        <v>13</v>
      </c>
      <c r="M646">
        <v>6</v>
      </c>
      <c r="N646">
        <v>8</v>
      </c>
      <c r="O646">
        <v>5</v>
      </c>
      <c r="P646">
        <v>0</v>
      </c>
    </row>
    <row r="647" spans="1:16" x14ac:dyDescent="0.25">
      <c r="A647">
        <v>17</v>
      </c>
      <c r="B647" t="s">
        <v>14</v>
      </c>
      <c r="C647">
        <v>3.7</v>
      </c>
      <c r="D647" t="str">
        <f t="shared" si="30"/>
        <v>Medium</v>
      </c>
      <c r="E647" t="s">
        <v>12</v>
      </c>
      <c r="F647" s="1">
        <v>6.3</v>
      </c>
      <c r="G647" t="str">
        <f t="shared" si="31"/>
        <v>Low</v>
      </c>
      <c r="H647">
        <v>1.3</v>
      </c>
      <c r="I647">
        <v>2.7</v>
      </c>
      <c r="J647" s="1">
        <v>1.1000000000000001</v>
      </c>
      <c r="K647" t="str">
        <f t="shared" si="32"/>
        <v>1-2 hours</v>
      </c>
      <c r="L647" t="s">
        <v>17</v>
      </c>
      <c r="M647">
        <v>2</v>
      </c>
      <c r="N647">
        <v>6</v>
      </c>
      <c r="O647">
        <v>9</v>
      </c>
      <c r="P647">
        <v>0</v>
      </c>
    </row>
    <row r="648" spans="1:16" x14ac:dyDescent="0.25">
      <c r="A648">
        <v>16</v>
      </c>
      <c r="B648" t="s">
        <v>14</v>
      </c>
      <c r="C648">
        <v>7.4</v>
      </c>
      <c r="D648" t="str">
        <f t="shared" si="30"/>
        <v>High</v>
      </c>
      <c r="E648" t="s">
        <v>12</v>
      </c>
      <c r="F648" s="1">
        <v>7.4</v>
      </c>
      <c r="G648" t="str">
        <f t="shared" si="31"/>
        <v>Low</v>
      </c>
      <c r="H648">
        <v>0.9</v>
      </c>
      <c r="I648">
        <v>3.7</v>
      </c>
      <c r="J648" s="1">
        <v>1.3</v>
      </c>
      <c r="K648" t="str">
        <f t="shared" si="32"/>
        <v>1-2 hours</v>
      </c>
      <c r="L648" t="s">
        <v>17</v>
      </c>
      <c r="M648">
        <v>10</v>
      </c>
      <c r="N648">
        <v>6</v>
      </c>
      <c r="O648">
        <v>2</v>
      </c>
      <c r="P648">
        <v>0</v>
      </c>
    </row>
    <row r="649" spans="1:16" x14ac:dyDescent="0.25">
      <c r="A649">
        <v>13</v>
      </c>
      <c r="B649" t="s">
        <v>11</v>
      </c>
      <c r="C649">
        <v>5.3</v>
      </c>
      <c r="D649" t="str">
        <f t="shared" si="30"/>
        <v>Medium</v>
      </c>
      <c r="E649" t="s">
        <v>12</v>
      </c>
      <c r="F649" s="1">
        <v>6</v>
      </c>
      <c r="G649" t="str">
        <f t="shared" si="31"/>
        <v>Low</v>
      </c>
      <c r="H649">
        <v>1</v>
      </c>
      <c r="I649">
        <v>2.92</v>
      </c>
      <c r="J649" s="1">
        <v>0.7</v>
      </c>
      <c r="K649" t="str">
        <f t="shared" si="32"/>
        <v>0-1 hours</v>
      </c>
      <c r="L649" t="s">
        <v>16</v>
      </c>
      <c r="M649">
        <v>3</v>
      </c>
      <c r="N649">
        <v>8</v>
      </c>
      <c r="O649">
        <v>5</v>
      </c>
      <c r="P649">
        <v>0</v>
      </c>
    </row>
    <row r="650" spans="1:16" x14ac:dyDescent="0.25">
      <c r="A650">
        <v>18</v>
      </c>
      <c r="B650" t="s">
        <v>14</v>
      </c>
      <c r="C650">
        <v>4.8</v>
      </c>
      <c r="D650" t="str">
        <f t="shared" si="30"/>
        <v>Medium</v>
      </c>
      <c r="E650" t="s">
        <v>12</v>
      </c>
      <c r="F650" s="1">
        <v>5.5</v>
      </c>
      <c r="G650" t="str">
        <f t="shared" si="31"/>
        <v>Low</v>
      </c>
      <c r="H650">
        <v>1.8</v>
      </c>
      <c r="I650">
        <v>2.9</v>
      </c>
      <c r="J650" s="1">
        <v>0.6</v>
      </c>
      <c r="K650" t="str">
        <f t="shared" si="32"/>
        <v>0-1 hours</v>
      </c>
      <c r="L650" t="s">
        <v>13</v>
      </c>
      <c r="M650">
        <v>6</v>
      </c>
      <c r="N650">
        <v>2</v>
      </c>
      <c r="O650">
        <v>5</v>
      </c>
      <c r="P650">
        <v>0</v>
      </c>
    </row>
    <row r="651" spans="1:16" x14ac:dyDescent="0.25">
      <c r="A651">
        <v>13</v>
      </c>
      <c r="B651" t="s">
        <v>11</v>
      </c>
      <c r="C651">
        <v>3.4</v>
      </c>
      <c r="D651" t="str">
        <f t="shared" si="30"/>
        <v>Medium</v>
      </c>
      <c r="E651" t="s">
        <v>15</v>
      </c>
      <c r="F651" s="1">
        <v>4.5</v>
      </c>
      <c r="G651" t="str">
        <f t="shared" si="31"/>
        <v>Low</v>
      </c>
      <c r="H651">
        <v>0.5</v>
      </c>
      <c r="I651">
        <v>3.71</v>
      </c>
      <c r="J651" s="1">
        <v>1</v>
      </c>
      <c r="K651" t="str">
        <f t="shared" si="32"/>
        <v>0-1 hours</v>
      </c>
      <c r="L651" t="s">
        <v>17</v>
      </c>
      <c r="M651">
        <v>1</v>
      </c>
      <c r="N651">
        <v>10</v>
      </c>
      <c r="O651">
        <v>1</v>
      </c>
      <c r="P651">
        <v>0</v>
      </c>
    </row>
    <row r="652" spans="1:16" x14ac:dyDescent="0.25">
      <c r="A652">
        <v>17</v>
      </c>
      <c r="B652" t="s">
        <v>14</v>
      </c>
      <c r="C652">
        <v>7</v>
      </c>
      <c r="D652" t="str">
        <f t="shared" si="30"/>
        <v>High</v>
      </c>
      <c r="E652" t="s">
        <v>15</v>
      </c>
      <c r="F652" s="1">
        <v>8.9</v>
      </c>
      <c r="G652" t="str">
        <f t="shared" si="31"/>
        <v>Normal</v>
      </c>
      <c r="H652">
        <v>0.6</v>
      </c>
      <c r="I652">
        <v>3.67</v>
      </c>
      <c r="J652" s="1">
        <v>0.2</v>
      </c>
      <c r="K652" t="str">
        <f t="shared" si="32"/>
        <v>0-1 hours</v>
      </c>
      <c r="L652" t="s">
        <v>17</v>
      </c>
      <c r="M652">
        <v>9</v>
      </c>
      <c r="N652">
        <v>2</v>
      </c>
      <c r="O652">
        <v>4</v>
      </c>
      <c r="P652">
        <v>0</v>
      </c>
    </row>
    <row r="653" spans="1:16" x14ac:dyDescent="0.25">
      <c r="A653">
        <v>15</v>
      </c>
      <c r="B653" t="s">
        <v>11</v>
      </c>
      <c r="C653">
        <v>5.4</v>
      </c>
      <c r="D653" t="str">
        <f t="shared" si="30"/>
        <v>Medium</v>
      </c>
      <c r="E653" t="s">
        <v>12</v>
      </c>
      <c r="F653" s="1">
        <v>7.2</v>
      </c>
      <c r="G653" t="str">
        <f t="shared" si="31"/>
        <v>Low</v>
      </c>
      <c r="H653">
        <v>1.2</v>
      </c>
      <c r="I653">
        <v>3.32</v>
      </c>
      <c r="J653" s="1">
        <v>1.3</v>
      </c>
      <c r="K653" t="str">
        <f t="shared" si="32"/>
        <v>1-2 hours</v>
      </c>
      <c r="L653" t="s">
        <v>16</v>
      </c>
      <c r="M653">
        <v>7</v>
      </c>
      <c r="N653">
        <v>8</v>
      </c>
      <c r="O653">
        <v>1</v>
      </c>
      <c r="P653">
        <v>0</v>
      </c>
    </row>
    <row r="654" spans="1:16" x14ac:dyDescent="0.25">
      <c r="A654">
        <v>17</v>
      </c>
      <c r="B654" t="s">
        <v>11</v>
      </c>
      <c r="C654">
        <v>5.3</v>
      </c>
      <c r="D654" t="str">
        <f t="shared" si="30"/>
        <v>Medium</v>
      </c>
      <c r="E654" t="s">
        <v>12</v>
      </c>
      <c r="F654" s="1">
        <v>6.4</v>
      </c>
      <c r="G654" t="str">
        <f t="shared" si="31"/>
        <v>Low</v>
      </c>
      <c r="H654">
        <v>2.9</v>
      </c>
      <c r="I654">
        <v>2.42</v>
      </c>
      <c r="J654" s="1">
        <v>1.1000000000000001</v>
      </c>
      <c r="K654" t="str">
        <f t="shared" si="32"/>
        <v>1-2 hours</v>
      </c>
      <c r="L654" t="s">
        <v>13</v>
      </c>
      <c r="M654">
        <v>3</v>
      </c>
      <c r="N654">
        <v>8</v>
      </c>
      <c r="O654">
        <v>3</v>
      </c>
      <c r="P654">
        <v>0</v>
      </c>
    </row>
    <row r="655" spans="1:16" x14ac:dyDescent="0.25">
      <c r="A655">
        <v>14</v>
      </c>
      <c r="B655" t="s">
        <v>11</v>
      </c>
      <c r="C655">
        <v>1.8</v>
      </c>
      <c r="D655" t="str">
        <f t="shared" si="30"/>
        <v>Low</v>
      </c>
      <c r="E655" t="s">
        <v>18</v>
      </c>
      <c r="F655" s="1">
        <v>5.0999999999999996</v>
      </c>
      <c r="G655" t="str">
        <f t="shared" si="31"/>
        <v>Low</v>
      </c>
      <c r="H655">
        <v>2.7</v>
      </c>
      <c r="I655">
        <v>3.47</v>
      </c>
      <c r="J655" s="1">
        <v>0.2</v>
      </c>
      <c r="K655" t="str">
        <f t="shared" si="32"/>
        <v>0-1 hours</v>
      </c>
      <c r="L655" t="s">
        <v>13</v>
      </c>
      <c r="M655">
        <v>8</v>
      </c>
      <c r="N655">
        <v>4</v>
      </c>
      <c r="O655">
        <v>6</v>
      </c>
      <c r="P655">
        <v>0</v>
      </c>
    </row>
    <row r="656" spans="1:16" x14ac:dyDescent="0.25">
      <c r="A656">
        <v>15</v>
      </c>
      <c r="B656" t="s">
        <v>11</v>
      </c>
      <c r="C656">
        <v>4.5</v>
      </c>
      <c r="D656" t="str">
        <f t="shared" si="30"/>
        <v>Medium</v>
      </c>
      <c r="E656" t="s">
        <v>15</v>
      </c>
      <c r="F656" s="1">
        <v>6.2</v>
      </c>
      <c r="G656" t="str">
        <f t="shared" si="31"/>
        <v>Low</v>
      </c>
      <c r="H656">
        <v>2.8</v>
      </c>
      <c r="I656">
        <v>2.74</v>
      </c>
      <c r="J656" s="1">
        <v>0.1</v>
      </c>
      <c r="K656" t="str">
        <f t="shared" si="32"/>
        <v>0-1 hours</v>
      </c>
      <c r="L656" t="s">
        <v>16</v>
      </c>
      <c r="M656">
        <v>2</v>
      </c>
      <c r="N656">
        <v>3</v>
      </c>
      <c r="O656">
        <v>5</v>
      </c>
      <c r="P656">
        <v>0</v>
      </c>
    </row>
    <row r="657" spans="1:16" x14ac:dyDescent="0.25">
      <c r="A657">
        <v>17</v>
      </c>
      <c r="B657" t="s">
        <v>14</v>
      </c>
      <c r="C657">
        <v>5.4</v>
      </c>
      <c r="D657" t="str">
        <f t="shared" si="30"/>
        <v>Medium</v>
      </c>
      <c r="E657" t="s">
        <v>15</v>
      </c>
      <c r="F657" s="1">
        <v>7.1</v>
      </c>
      <c r="G657" t="str">
        <f t="shared" si="31"/>
        <v>Low</v>
      </c>
      <c r="H657">
        <v>2.5</v>
      </c>
      <c r="I657">
        <v>2.68</v>
      </c>
      <c r="J657" s="1">
        <v>1.6</v>
      </c>
      <c r="K657" t="str">
        <f t="shared" si="32"/>
        <v>1-2 hours</v>
      </c>
      <c r="L657" t="s">
        <v>13</v>
      </c>
      <c r="M657">
        <v>3</v>
      </c>
      <c r="N657">
        <v>5</v>
      </c>
      <c r="O657">
        <v>7</v>
      </c>
      <c r="P657">
        <v>0</v>
      </c>
    </row>
    <row r="658" spans="1:16" x14ac:dyDescent="0.25">
      <c r="A658">
        <v>13</v>
      </c>
      <c r="B658" t="s">
        <v>11</v>
      </c>
      <c r="C658">
        <v>3.6</v>
      </c>
      <c r="D658" t="str">
        <f t="shared" si="30"/>
        <v>Medium</v>
      </c>
      <c r="E658" t="s">
        <v>12</v>
      </c>
      <c r="F658" s="1">
        <v>8.6</v>
      </c>
      <c r="G658" t="str">
        <f t="shared" si="31"/>
        <v>Normal</v>
      </c>
      <c r="H658">
        <v>0.7</v>
      </c>
      <c r="I658">
        <v>2.42</v>
      </c>
      <c r="J658" s="1">
        <v>0.2</v>
      </c>
      <c r="K658" t="str">
        <f t="shared" si="32"/>
        <v>0-1 hours</v>
      </c>
      <c r="L658" t="s">
        <v>17</v>
      </c>
      <c r="M658">
        <v>2</v>
      </c>
      <c r="N658">
        <v>6</v>
      </c>
      <c r="O658">
        <v>8</v>
      </c>
      <c r="P658">
        <v>0</v>
      </c>
    </row>
    <row r="659" spans="1:16" x14ac:dyDescent="0.25">
      <c r="A659">
        <v>14</v>
      </c>
      <c r="B659" t="s">
        <v>14</v>
      </c>
      <c r="C659">
        <v>5.7</v>
      </c>
      <c r="D659" t="str">
        <f t="shared" si="30"/>
        <v>Medium</v>
      </c>
      <c r="E659" t="s">
        <v>12</v>
      </c>
      <c r="F659" s="1">
        <v>8.9</v>
      </c>
      <c r="G659" t="str">
        <f t="shared" si="31"/>
        <v>Normal</v>
      </c>
      <c r="H659">
        <v>0.7</v>
      </c>
      <c r="I659">
        <v>2.17</v>
      </c>
      <c r="J659" s="1">
        <v>1.3</v>
      </c>
      <c r="K659" t="str">
        <f t="shared" si="32"/>
        <v>1-2 hours</v>
      </c>
      <c r="L659" t="s">
        <v>16</v>
      </c>
      <c r="M659">
        <v>10</v>
      </c>
      <c r="N659">
        <v>4</v>
      </c>
      <c r="O659">
        <v>3</v>
      </c>
      <c r="P659">
        <v>0</v>
      </c>
    </row>
    <row r="660" spans="1:16" x14ac:dyDescent="0.25">
      <c r="A660">
        <v>15</v>
      </c>
      <c r="B660" t="s">
        <v>14</v>
      </c>
      <c r="C660">
        <v>5.5</v>
      </c>
      <c r="D660" t="str">
        <f t="shared" si="30"/>
        <v>Medium</v>
      </c>
      <c r="E660" t="s">
        <v>18</v>
      </c>
      <c r="F660" s="1">
        <v>7.3</v>
      </c>
      <c r="G660" t="str">
        <f t="shared" si="31"/>
        <v>Low</v>
      </c>
      <c r="H660">
        <v>2.5</v>
      </c>
      <c r="I660">
        <v>3.67</v>
      </c>
      <c r="J660" s="1">
        <v>0.5</v>
      </c>
      <c r="K660" t="str">
        <f t="shared" si="32"/>
        <v>0-1 hours</v>
      </c>
      <c r="L660" t="s">
        <v>13</v>
      </c>
      <c r="M660">
        <v>4</v>
      </c>
      <c r="N660">
        <v>3</v>
      </c>
      <c r="O660">
        <v>6</v>
      </c>
      <c r="P660">
        <v>0</v>
      </c>
    </row>
    <row r="661" spans="1:16" x14ac:dyDescent="0.25">
      <c r="A661">
        <v>14</v>
      </c>
      <c r="B661" t="s">
        <v>14</v>
      </c>
      <c r="C661">
        <v>5.3</v>
      </c>
      <c r="D661" t="str">
        <f t="shared" si="30"/>
        <v>Medium</v>
      </c>
      <c r="E661" t="s">
        <v>18</v>
      </c>
      <c r="F661" s="1">
        <v>4.7</v>
      </c>
      <c r="G661" t="str">
        <f t="shared" si="31"/>
        <v>Low</v>
      </c>
      <c r="H661">
        <v>1.1000000000000001</v>
      </c>
      <c r="I661">
        <v>3.68</v>
      </c>
      <c r="J661" s="1">
        <v>1.8</v>
      </c>
      <c r="K661" t="str">
        <f t="shared" si="32"/>
        <v>1-2 hours</v>
      </c>
      <c r="L661" t="s">
        <v>16</v>
      </c>
      <c r="M661">
        <v>10</v>
      </c>
      <c r="N661">
        <v>8</v>
      </c>
      <c r="O661">
        <v>10</v>
      </c>
      <c r="P661">
        <v>1</v>
      </c>
    </row>
    <row r="662" spans="1:16" x14ac:dyDescent="0.25">
      <c r="A662">
        <v>15</v>
      </c>
      <c r="B662" t="s">
        <v>11</v>
      </c>
      <c r="C662">
        <v>2.7</v>
      </c>
      <c r="D662" t="str">
        <f t="shared" si="30"/>
        <v>Medium</v>
      </c>
      <c r="E662" t="s">
        <v>12</v>
      </c>
      <c r="F662" s="1">
        <v>5.4</v>
      </c>
      <c r="G662" t="str">
        <f t="shared" si="31"/>
        <v>Low</v>
      </c>
      <c r="H662">
        <v>1.6</v>
      </c>
      <c r="I662">
        <v>2.34</v>
      </c>
      <c r="J662" s="1">
        <v>0.3</v>
      </c>
      <c r="K662" t="str">
        <f t="shared" si="32"/>
        <v>0-1 hours</v>
      </c>
      <c r="L662" t="s">
        <v>16</v>
      </c>
      <c r="M662">
        <v>2</v>
      </c>
      <c r="N662">
        <v>6</v>
      </c>
      <c r="O662">
        <v>8</v>
      </c>
      <c r="P662">
        <v>0</v>
      </c>
    </row>
    <row r="663" spans="1:16" x14ac:dyDescent="0.25">
      <c r="A663">
        <v>14</v>
      </c>
      <c r="B663" t="s">
        <v>11</v>
      </c>
      <c r="C663">
        <v>6.4</v>
      </c>
      <c r="D663" t="str">
        <f t="shared" si="30"/>
        <v>Medium</v>
      </c>
      <c r="E663" t="s">
        <v>12</v>
      </c>
      <c r="F663" s="1">
        <v>5.6</v>
      </c>
      <c r="G663" t="str">
        <f t="shared" si="31"/>
        <v>Low</v>
      </c>
      <c r="H663">
        <v>0.8</v>
      </c>
      <c r="I663">
        <v>4</v>
      </c>
      <c r="J663" s="1">
        <v>1.9</v>
      </c>
      <c r="K663" t="str">
        <f t="shared" si="32"/>
        <v>1-2 hours</v>
      </c>
      <c r="L663" t="s">
        <v>17</v>
      </c>
      <c r="M663">
        <v>5</v>
      </c>
      <c r="N663">
        <v>1</v>
      </c>
      <c r="O663">
        <v>3</v>
      </c>
      <c r="P663">
        <v>0</v>
      </c>
    </row>
    <row r="664" spans="1:16" x14ac:dyDescent="0.25">
      <c r="A664">
        <v>16</v>
      </c>
      <c r="B664" t="s">
        <v>11</v>
      </c>
      <c r="C664">
        <v>5</v>
      </c>
      <c r="D664" t="str">
        <f t="shared" si="30"/>
        <v>Medium</v>
      </c>
      <c r="E664" t="s">
        <v>15</v>
      </c>
      <c r="F664" s="1">
        <v>6.3</v>
      </c>
      <c r="G664" t="str">
        <f t="shared" si="31"/>
        <v>Low</v>
      </c>
      <c r="H664">
        <v>3</v>
      </c>
      <c r="I664">
        <v>3.72</v>
      </c>
      <c r="J664" s="1">
        <v>1.6</v>
      </c>
      <c r="K664" t="str">
        <f t="shared" si="32"/>
        <v>1-2 hours</v>
      </c>
      <c r="L664" t="s">
        <v>17</v>
      </c>
      <c r="M664">
        <v>5</v>
      </c>
      <c r="N664">
        <v>10</v>
      </c>
      <c r="O664">
        <v>3</v>
      </c>
      <c r="P664">
        <v>0</v>
      </c>
    </row>
    <row r="665" spans="1:16" x14ac:dyDescent="0.25">
      <c r="A665">
        <v>13</v>
      </c>
      <c r="B665" t="s">
        <v>14</v>
      </c>
      <c r="C665">
        <v>2.5</v>
      </c>
      <c r="D665" t="str">
        <f t="shared" si="30"/>
        <v>Medium</v>
      </c>
      <c r="E665" t="s">
        <v>12</v>
      </c>
      <c r="F665" s="1">
        <v>4.5999999999999996</v>
      </c>
      <c r="G665" t="str">
        <f t="shared" si="31"/>
        <v>Low</v>
      </c>
      <c r="H665">
        <v>1.6</v>
      </c>
      <c r="I665">
        <v>3.22</v>
      </c>
      <c r="J665" s="1">
        <v>0.9</v>
      </c>
      <c r="K665" t="str">
        <f t="shared" si="32"/>
        <v>0-1 hours</v>
      </c>
      <c r="L665" t="s">
        <v>17</v>
      </c>
      <c r="M665">
        <v>6</v>
      </c>
      <c r="N665">
        <v>4</v>
      </c>
      <c r="O665">
        <v>3</v>
      </c>
      <c r="P665">
        <v>0</v>
      </c>
    </row>
    <row r="666" spans="1:16" x14ac:dyDescent="0.25">
      <c r="A666">
        <v>18</v>
      </c>
      <c r="B666" t="s">
        <v>11</v>
      </c>
      <c r="C666">
        <v>2.2000000000000002</v>
      </c>
      <c r="D666" t="str">
        <f t="shared" si="30"/>
        <v>Medium</v>
      </c>
      <c r="E666" t="s">
        <v>18</v>
      </c>
      <c r="F666" s="1">
        <v>4.5</v>
      </c>
      <c r="G666" t="str">
        <f t="shared" si="31"/>
        <v>Low</v>
      </c>
      <c r="H666">
        <v>2</v>
      </c>
      <c r="I666">
        <v>2.4900000000000002</v>
      </c>
      <c r="J666" s="1">
        <v>0.8</v>
      </c>
      <c r="K666" t="str">
        <f t="shared" si="32"/>
        <v>0-1 hours</v>
      </c>
      <c r="L666" t="s">
        <v>16</v>
      </c>
      <c r="M666">
        <v>1</v>
      </c>
      <c r="N666">
        <v>7</v>
      </c>
      <c r="O666">
        <v>6</v>
      </c>
      <c r="P666">
        <v>0</v>
      </c>
    </row>
    <row r="667" spans="1:16" x14ac:dyDescent="0.25">
      <c r="A667">
        <v>16</v>
      </c>
      <c r="B667" t="s">
        <v>11</v>
      </c>
      <c r="C667">
        <v>4.0999999999999996</v>
      </c>
      <c r="D667" t="str">
        <f t="shared" si="30"/>
        <v>Medium</v>
      </c>
      <c r="E667" t="s">
        <v>18</v>
      </c>
      <c r="F667" s="1">
        <v>5.5</v>
      </c>
      <c r="G667" t="str">
        <f t="shared" si="31"/>
        <v>Low</v>
      </c>
      <c r="H667">
        <v>1.9</v>
      </c>
      <c r="I667">
        <v>2.65</v>
      </c>
      <c r="J667" s="1">
        <v>1.5</v>
      </c>
      <c r="K667" t="str">
        <f t="shared" si="32"/>
        <v>1-2 hours</v>
      </c>
      <c r="L667" t="s">
        <v>13</v>
      </c>
      <c r="M667">
        <v>5</v>
      </c>
      <c r="N667">
        <v>7</v>
      </c>
      <c r="O667">
        <v>9</v>
      </c>
      <c r="P667">
        <v>0</v>
      </c>
    </row>
    <row r="668" spans="1:16" x14ac:dyDescent="0.25">
      <c r="A668">
        <v>16</v>
      </c>
      <c r="B668" t="s">
        <v>14</v>
      </c>
      <c r="C668">
        <v>2.8</v>
      </c>
      <c r="D668" t="str">
        <f t="shared" si="30"/>
        <v>Medium</v>
      </c>
      <c r="E668" t="s">
        <v>15</v>
      </c>
      <c r="F668" s="1">
        <v>7.4</v>
      </c>
      <c r="G668" t="str">
        <f t="shared" si="31"/>
        <v>Low</v>
      </c>
      <c r="H668">
        <v>2</v>
      </c>
      <c r="I668">
        <v>3.4</v>
      </c>
      <c r="J668" s="1">
        <v>1.6</v>
      </c>
      <c r="K668" t="str">
        <f t="shared" si="32"/>
        <v>1-2 hours</v>
      </c>
      <c r="L668" t="s">
        <v>13</v>
      </c>
      <c r="M668">
        <v>4</v>
      </c>
      <c r="N668">
        <v>1</v>
      </c>
      <c r="O668">
        <v>1</v>
      </c>
      <c r="P668">
        <v>0</v>
      </c>
    </row>
    <row r="669" spans="1:16" x14ac:dyDescent="0.25">
      <c r="A669">
        <v>17</v>
      </c>
      <c r="B669" t="s">
        <v>14</v>
      </c>
      <c r="C669">
        <v>1.1000000000000001</v>
      </c>
      <c r="D669" t="str">
        <f t="shared" si="30"/>
        <v>Low</v>
      </c>
      <c r="E669" t="s">
        <v>15</v>
      </c>
      <c r="F669" s="1">
        <v>8.1999999999999993</v>
      </c>
      <c r="G669" t="str">
        <f t="shared" si="31"/>
        <v>Normal</v>
      </c>
      <c r="H669">
        <v>2.7</v>
      </c>
      <c r="I669">
        <v>2.84</v>
      </c>
      <c r="J669" s="1">
        <v>0.2</v>
      </c>
      <c r="K669" t="str">
        <f t="shared" si="32"/>
        <v>0-1 hours</v>
      </c>
      <c r="L669" t="s">
        <v>16</v>
      </c>
      <c r="M669">
        <v>2</v>
      </c>
      <c r="N669">
        <v>4</v>
      </c>
      <c r="O669">
        <v>1</v>
      </c>
      <c r="P669">
        <v>0</v>
      </c>
    </row>
    <row r="670" spans="1:16" x14ac:dyDescent="0.25">
      <c r="A670">
        <v>13</v>
      </c>
      <c r="B670" t="s">
        <v>11</v>
      </c>
      <c r="C670">
        <v>7</v>
      </c>
      <c r="D670" t="str">
        <f t="shared" si="30"/>
        <v>High</v>
      </c>
      <c r="E670" t="s">
        <v>18</v>
      </c>
      <c r="F670" s="1">
        <v>5.7</v>
      </c>
      <c r="G670" t="str">
        <f t="shared" si="31"/>
        <v>Low</v>
      </c>
      <c r="H670">
        <v>1.6</v>
      </c>
      <c r="I670">
        <v>3.45</v>
      </c>
      <c r="J670" s="1">
        <v>1.2</v>
      </c>
      <c r="K670" t="str">
        <f t="shared" si="32"/>
        <v>1-2 hours</v>
      </c>
      <c r="L670" t="s">
        <v>17</v>
      </c>
      <c r="M670">
        <v>7</v>
      </c>
      <c r="N670">
        <v>1</v>
      </c>
      <c r="O670">
        <v>10</v>
      </c>
      <c r="P670">
        <v>0</v>
      </c>
    </row>
    <row r="671" spans="1:16" x14ac:dyDescent="0.25">
      <c r="A671">
        <v>18</v>
      </c>
      <c r="B671" t="s">
        <v>11</v>
      </c>
      <c r="C671">
        <v>2.6</v>
      </c>
      <c r="D671" t="str">
        <f t="shared" si="30"/>
        <v>Medium</v>
      </c>
      <c r="E671" t="s">
        <v>15</v>
      </c>
      <c r="F671" s="1">
        <v>7.9</v>
      </c>
      <c r="G671" t="str">
        <f t="shared" si="31"/>
        <v>Low</v>
      </c>
      <c r="H671">
        <v>2.2999999999999998</v>
      </c>
      <c r="I671">
        <v>2.4300000000000002</v>
      </c>
      <c r="J671" s="1">
        <v>0.1</v>
      </c>
      <c r="K671" t="str">
        <f t="shared" si="32"/>
        <v>0-1 hours</v>
      </c>
      <c r="L671" t="s">
        <v>16</v>
      </c>
      <c r="M671">
        <v>5</v>
      </c>
      <c r="N671">
        <v>1</v>
      </c>
      <c r="O671">
        <v>6</v>
      </c>
      <c r="P671">
        <v>0</v>
      </c>
    </row>
    <row r="672" spans="1:16" x14ac:dyDescent="0.25">
      <c r="A672">
        <v>13</v>
      </c>
      <c r="B672" t="s">
        <v>14</v>
      </c>
      <c r="C672">
        <v>2.6</v>
      </c>
      <c r="D672" t="str">
        <f t="shared" si="30"/>
        <v>Medium</v>
      </c>
      <c r="E672" t="s">
        <v>15</v>
      </c>
      <c r="F672" s="1">
        <v>6.1</v>
      </c>
      <c r="G672" t="str">
        <f t="shared" si="31"/>
        <v>Low</v>
      </c>
      <c r="H672">
        <v>1.4</v>
      </c>
      <c r="I672">
        <v>2.11</v>
      </c>
      <c r="J672" s="1">
        <v>0.4</v>
      </c>
      <c r="K672" t="str">
        <f t="shared" si="32"/>
        <v>0-1 hours</v>
      </c>
      <c r="L672" t="s">
        <v>16</v>
      </c>
      <c r="M672">
        <v>7</v>
      </c>
      <c r="N672">
        <v>5</v>
      </c>
      <c r="O672">
        <v>10</v>
      </c>
      <c r="P672">
        <v>0</v>
      </c>
    </row>
    <row r="673" spans="1:16" x14ac:dyDescent="0.25">
      <c r="A673">
        <v>14</v>
      </c>
      <c r="B673" t="s">
        <v>11</v>
      </c>
      <c r="C673">
        <v>3.4</v>
      </c>
      <c r="D673" t="str">
        <f t="shared" si="30"/>
        <v>Medium</v>
      </c>
      <c r="E673" t="s">
        <v>12</v>
      </c>
      <c r="F673" s="1">
        <v>4.5999999999999996</v>
      </c>
      <c r="G673" t="str">
        <f t="shared" si="31"/>
        <v>Low</v>
      </c>
      <c r="H673">
        <v>2</v>
      </c>
      <c r="I673">
        <v>2.27</v>
      </c>
      <c r="J673" s="1">
        <v>1.9</v>
      </c>
      <c r="K673" t="str">
        <f t="shared" si="32"/>
        <v>1-2 hours</v>
      </c>
      <c r="L673" t="s">
        <v>16</v>
      </c>
      <c r="M673">
        <v>7</v>
      </c>
      <c r="N673">
        <v>10</v>
      </c>
      <c r="O673">
        <v>6</v>
      </c>
      <c r="P673">
        <v>0</v>
      </c>
    </row>
    <row r="674" spans="1:16" x14ac:dyDescent="0.25">
      <c r="A674">
        <v>14</v>
      </c>
      <c r="B674" t="s">
        <v>11</v>
      </c>
      <c r="C674">
        <v>7.9</v>
      </c>
      <c r="D674" t="str">
        <f t="shared" si="30"/>
        <v>High</v>
      </c>
      <c r="E674" t="s">
        <v>12</v>
      </c>
      <c r="F674" s="1">
        <v>5.7</v>
      </c>
      <c r="G674" t="str">
        <f t="shared" si="31"/>
        <v>Low</v>
      </c>
      <c r="H674">
        <v>1.6</v>
      </c>
      <c r="I674">
        <v>3.67</v>
      </c>
      <c r="J674" s="1">
        <v>0.6</v>
      </c>
      <c r="K674" t="str">
        <f t="shared" si="32"/>
        <v>0-1 hours</v>
      </c>
      <c r="L674" t="s">
        <v>17</v>
      </c>
      <c r="M674">
        <v>4</v>
      </c>
      <c r="N674">
        <v>3</v>
      </c>
      <c r="O674">
        <v>4</v>
      </c>
      <c r="P674">
        <v>0</v>
      </c>
    </row>
    <row r="675" spans="1:16" x14ac:dyDescent="0.25">
      <c r="A675">
        <v>13</v>
      </c>
      <c r="B675" t="s">
        <v>11</v>
      </c>
      <c r="C675">
        <v>5.0999999999999996</v>
      </c>
      <c r="D675" t="str">
        <f t="shared" si="30"/>
        <v>Medium</v>
      </c>
      <c r="E675" t="s">
        <v>15</v>
      </c>
      <c r="F675" s="1">
        <v>5.3</v>
      </c>
      <c r="G675" t="str">
        <f t="shared" si="31"/>
        <v>Low</v>
      </c>
      <c r="H675">
        <v>2.6</v>
      </c>
      <c r="I675">
        <v>2.95</v>
      </c>
      <c r="J675" s="1">
        <v>1.2</v>
      </c>
      <c r="K675" t="str">
        <f t="shared" si="32"/>
        <v>1-2 hours</v>
      </c>
      <c r="L675" t="s">
        <v>17</v>
      </c>
      <c r="M675">
        <v>2</v>
      </c>
      <c r="N675">
        <v>6</v>
      </c>
      <c r="O675">
        <v>10</v>
      </c>
      <c r="P675">
        <v>0</v>
      </c>
    </row>
    <row r="676" spans="1:16" x14ac:dyDescent="0.25">
      <c r="A676">
        <v>13</v>
      </c>
      <c r="B676" t="s">
        <v>14</v>
      </c>
      <c r="C676">
        <v>2.8</v>
      </c>
      <c r="D676" t="str">
        <f t="shared" si="30"/>
        <v>Medium</v>
      </c>
      <c r="E676" t="s">
        <v>18</v>
      </c>
      <c r="F676" s="1">
        <v>6.4</v>
      </c>
      <c r="G676" t="str">
        <f t="shared" si="31"/>
        <v>Low</v>
      </c>
      <c r="H676">
        <v>1.4</v>
      </c>
      <c r="I676">
        <v>2.38</v>
      </c>
      <c r="J676" s="1">
        <v>1.4</v>
      </c>
      <c r="K676" t="str">
        <f t="shared" si="32"/>
        <v>1-2 hours</v>
      </c>
      <c r="L676" t="s">
        <v>17</v>
      </c>
      <c r="M676">
        <v>4</v>
      </c>
      <c r="N676">
        <v>8</v>
      </c>
      <c r="O676">
        <v>10</v>
      </c>
      <c r="P676">
        <v>0</v>
      </c>
    </row>
    <row r="677" spans="1:16" x14ac:dyDescent="0.25">
      <c r="A677">
        <v>19</v>
      </c>
      <c r="B677" t="s">
        <v>14</v>
      </c>
      <c r="C677">
        <v>3.4</v>
      </c>
      <c r="D677" t="str">
        <f t="shared" si="30"/>
        <v>Medium</v>
      </c>
      <c r="E677" t="s">
        <v>15</v>
      </c>
      <c r="F677" s="1">
        <v>4.3</v>
      </c>
      <c r="G677" t="str">
        <f t="shared" si="31"/>
        <v>Low</v>
      </c>
      <c r="H677">
        <v>0.7</v>
      </c>
      <c r="I677">
        <v>2.17</v>
      </c>
      <c r="J677" s="1">
        <v>0.7</v>
      </c>
      <c r="K677" t="str">
        <f t="shared" si="32"/>
        <v>0-1 hours</v>
      </c>
      <c r="L677" t="s">
        <v>16</v>
      </c>
      <c r="M677">
        <v>3</v>
      </c>
      <c r="N677">
        <v>1</v>
      </c>
      <c r="O677">
        <v>4</v>
      </c>
      <c r="P677">
        <v>0</v>
      </c>
    </row>
    <row r="678" spans="1:16" x14ac:dyDescent="0.25">
      <c r="A678">
        <v>18</v>
      </c>
      <c r="B678" t="s">
        <v>11</v>
      </c>
      <c r="C678">
        <v>6.3</v>
      </c>
      <c r="D678" t="str">
        <f t="shared" si="30"/>
        <v>Medium</v>
      </c>
      <c r="E678" t="s">
        <v>18</v>
      </c>
      <c r="F678" s="1">
        <v>6.9</v>
      </c>
      <c r="G678" t="str">
        <f t="shared" si="31"/>
        <v>Low</v>
      </c>
      <c r="H678">
        <v>1</v>
      </c>
      <c r="I678">
        <v>3.22</v>
      </c>
      <c r="J678" s="1">
        <v>0.8</v>
      </c>
      <c r="K678" t="str">
        <f t="shared" si="32"/>
        <v>0-1 hours</v>
      </c>
      <c r="L678" t="s">
        <v>17</v>
      </c>
      <c r="M678">
        <v>4</v>
      </c>
      <c r="N678">
        <v>6</v>
      </c>
      <c r="O678">
        <v>1</v>
      </c>
      <c r="P678">
        <v>0</v>
      </c>
    </row>
    <row r="679" spans="1:16" x14ac:dyDescent="0.25">
      <c r="A679">
        <v>17</v>
      </c>
      <c r="B679" t="s">
        <v>14</v>
      </c>
      <c r="C679">
        <v>1.1000000000000001</v>
      </c>
      <c r="D679" t="str">
        <f t="shared" si="30"/>
        <v>Low</v>
      </c>
      <c r="E679" t="s">
        <v>15</v>
      </c>
      <c r="F679" s="1">
        <v>4.5999999999999996</v>
      </c>
      <c r="G679" t="str">
        <f t="shared" si="31"/>
        <v>Low</v>
      </c>
      <c r="H679">
        <v>2.5</v>
      </c>
      <c r="I679">
        <v>3.93</v>
      </c>
      <c r="J679" s="1">
        <v>0.3</v>
      </c>
      <c r="K679" t="str">
        <f t="shared" si="32"/>
        <v>0-1 hours</v>
      </c>
      <c r="L679" t="s">
        <v>16</v>
      </c>
      <c r="M679">
        <v>10</v>
      </c>
      <c r="N679">
        <v>6</v>
      </c>
      <c r="O679">
        <v>2</v>
      </c>
      <c r="P679">
        <v>0</v>
      </c>
    </row>
    <row r="680" spans="1:16" x14ac:dyDescent="0.25">
      <c r="A680">
        <v>19</v>
      </c>
      <c r="B680" t="s">
        <v>11</v>
      </c>
      <c r="C680">
        <v>3.8</v>
      </c>
      <c r="D680" t="str">
        <f t="shared" si="30"/>
        <v>Medium</v>
      </c>
      <c r="E680" t="s">
        <v>12</v>
      </c>
      <c r="F680" s="1">
        <v>7.1</v>
      </c>
      <c r="G680" t="str">
        <f t="shared" si="31"/>
        <v>Low</v>
      </c>
      <c r="H680">
        <v>2.5</v>
      </c>
      <c r="I680">
        <v>3.81</v>
      </c>
      <c r="J680" s="1">
        <v>0.9</v>
      </c>
      <c r="K680" t="str">
        <f t="shared" si="32"/>
        <v>0-1 hours</v>
      </c>
      <c r="L680" t="s">
        <v>13</v>
      </c>
      <c r="M680">
        <v>6</v>
      </c>
      <c r="N680">
        <v>9</v>
      </c>
      <c r="O680">
        <v>4</v>
      </c>
      <c r="P680">
        <v>0</v>
      </c>
    </row>
    <row r="681" spans="1:16" x14ac:dyDescent="0.25">
      <c r="A681">
        <v>13</v>
      </c>
      <c r="B681" t="s">
        <v>11</v>
      </c>
      <c r="C681">
        <v>2.1</v>
      </c>
      <c r="D681" t="str">
        <f t="shared" si="30"/>
        <v>Medium</v>
      </c>
      <c r="E681" t="s">
        <v>12</v>
      </c>
      <c r="F681" s="1">
        <v>4.0999999999999996</v>
      </c>
      <c r="G681" t="str">
        <f t="shared" si="31"/>
        <v>Low</v>
      </c>
      <c r="H681">
        <v>1.6</v>
      </c>
      <c r="I681">
        <v>2.12</v>
      </c>
      <c r="J681" s="1">
        <v>1.8</v>
      </c>
      <c r="K681" t="str">
        <f t="shared" si="32"/>
        <v>1-2 hours</v>
      </c>
      <c r="L681" t="s">
        <v>16</v>
      </c>
      <c r="M681">
        <v>10</v>
      </c>
      <c r="N681">
        <v>9</v>
      </c>
      <c r="O681">
        <v>6</v>
      </c>
      <c r="P681">
        <v>0</v>
      </c>
    </row>
    <row r="682" spans="1:16" x14ac:dyDescent="0.25">
      <c r="A682">
        <v>17</v>
      </c>
      <c r="B682" t="s">
        <v>14</v>
      </c>
      <c r="C682">
        <v>6.2</v>
      </c>
      <c r="D682" t="str">
        <f t="shared" si="30"/>
        <v>Medium</v>
      </c>
      <c r="E682" t="s">
        <v>18</v>
      </c>
      <c r="F682" s="1">
        <v>6.1</v>
      </c>
      <c r="G682" t="str">
        <f t="shared" si="31"/>
        <v>Low</v>
      </c>
      <c r="H682">
        <v>2.4</v>
      </c>
      <c r="I682">
        <v>3.05</v>
      </c>
      <c r="J682" s="1">
        <v>1.8</v>
      </c>
      <c r="K682" t="str">
        <f t="shared" si="32"/>
        <v>1-2 hours</v>
      </c>
      <c r="L682" t="s">
        <v>16</v>
      </c>
      <c r="M682">
        <v>3</v>
      </c>
      <c r="N682">
        <v>6</v>
      </c>
      <c r="O682">
        <v>8</v>
      </c>
      <c r="P682">
        <v>0</v>
      </c>
    </row>
    <row r="683" spans="1:16" x14ac:dyDescent="0.25">
      <c r="A683">
        <v>19</v>
      </c>
      <c r="B683" t="s">
        <v>11</v>
      </c>
      <c r="C683">
        <v>6.8</v>
      </c>
      <c r="D683" t="str">
        <f t="shared" si="30"/>
        <v>Medium</v>
      </c>
      <c r="E683" t="s">
        <v>12</v>
      </c>
      <c r="F683" s="1">
        <v>8.4</v>
      </c>
      <c r="G683" t="str">
        <f t="shared" si="31"/>
        <v>Normal</v>
      </c>
      <c r="H683">
        <v>2.1</v>
      </c>
      <c r="I683">
        <v>3.15</v>
      </c>
      <c r="J683" s="1">
        <v>2</v>
      </c>
      <c r="K683" t="str">
        <f t="shared" si="32"/>
        <v>1-2 hours</v>
      </c>
      <c r="L683" t="s">
        <v>17</v>
      </c>
      <c r="M683">
        <v>4</v>
      </c>
      <c r="N683">
        <v>10</v>
      </c>
      <c r="O683">
        <v>1</v>
      </c>
      <c r="P683">
        <v>0</v>
      </c>
    </row>
    <row r="684" spans="1:16" x14ac:dyDescent="0.25">
      <c r="A684">
        <v>14</v>
      </c>
      <c r="B684" t="s">
        <v>11</v>
      </c>
      <c r="C684">
        <v>5.2</v>
      </c>
      <c r="D684" t="str">
        <f t="shared" si="30"/>
        <v>Medium</v>
      </c>
      <c r="E684" t="s">
        <v>12</v>
      </c>
      <c r="F684" s="1">
        <v>5.5</v>
      </c>
      <c r="G684" t="str">
        <f t="shared" si="31"/>
        <v>Low</v>
      </c>
      <c r="H684">
        <v>1.6</v>
      </c>
      <c r="I684">
        <v>3.08</v>
      </c>
      <c r="J684" s="1">
        <v>0.5</v>
      </c>
      <c r="K684" t="str">
        <f t="shared" si="32"/>
        <v>0-1 hours</v>
      </c>
      <c r="L684" t="s">
        <v>17</v>
      </c>
      <c r="M684">
        <v>3</v>
      </c>
      <c r="N684">
        <v>8</v>
      </c>
      <c r="O684">
        <v>1</v>
      </c>
      <c r="P684">
        <v>0</v>
      </c>
    </row>
    <row r="685" spans="1:16" x14ac:dyDescent="0.25">
      <c r="A685">
        <v>15</v>
      </c>
      <c r="B685" t="s">
        <v>11</v>
      </c>
      <c r="C685">
        <v>3.7</v>
      </c>
      <c r="D685" t="str">
        <f t="shared" si="30"/>
        <v>Medium</v>
      </c>
      <c r="E685" t="s">
        <v>18</v>
      </c>
      <c r="F685" s="1">
        <v>4</v>
      </c>
      <c r="G685" t="str">
        <f t="shared" si="31"/>
        <v>Low</v>
      </c>
      <c r="H685">
        <v>0.9</v>
      </c>
      <c r="I685">
        <v>3</v>
      </c>
      <c r="J685" s="1">
        <v>1.4</v>
      </c>
      <c r="K685" t="str">
        <f t="shared" si="32"/>
        <v>1-2 hours</v>
      </c>
      <c r="L685" t="s">
        <v>17</v>
      </c>
      <c r="M685">
        <v>1</v>
      </c>
      <c r="N685">
        <v>8</v>
      </c>
      <c r="O685">
        <v>10</v>
      </c>
      <c r="P685">
        <v>0</v>
      </c>
    </row>
    <row r="686" spans="1:16" x14ac:dyDescent="0.25">
      <c r="A686">
        <v>19</v>
      </c>
      <c r="B686" t="s">
        <v>11</v>
      </c>
      <c r="C686">
        <v>2.4</v>
      </c>
      <c r="D686" t="str">
        <f t="shared" si="30"/>
        <v>Medium</v>
      </c>
      <c r="E686" t="s">
        <v>18</v>
      </c>
      <c r="F686" s="1">
        <v>7.5</v>
      </c>
      <c r="G686" t="str">
        <f t="shared" si="31"/>
        <v>Low</v>
      </c>
      <c r="H686">
        <v>1.8</v>
      </c>
      <c r="I686">
        <v>2.35</v>
      </c>
      <c r="J686" s="1">
        <v>1.4</v>
      </c>
      <c r="K686" t="str">
        <f t="shared" si="32"/>
        <v>1-2 hours</v>
      </c>
      <c r="L686" t="s">
        <v>13</v>
      </c>
      <c r="M686">
        <v>3</v>
      </c>
      <c r="N686">
        <v>8</v>
      </c>
      <c r="O686">
        <v>6</v>
      </c>
      <c r="P686">
        <v>0</v>
      </c>
    </row>
    <row r="687" spans="1:16" x14ac:dyDescent="0.25">
      <c r="A687">
        <v>13</v>
      </c>
      <c r="B687" t="s">
        <v>11</v>
      </c>
      <c r="C687">
        <v>2.1</v>
      </c>
      <c r="D687" t="str">
        <f t="shared" si="30"/>
        <v>Medium</v>
      </c>
      <c r="E687" t="s">
        <v>15</v>
      </c>
      <c r="F687" s="1">
        <v>5.8</v>
      </c>
      <c r="G687" t="str">
        <f t="shared" si="31"/>
        <v>Low</v>
      </c>
      <c r="H687">
        <v>2.7</v>
      </c>
      <c r="I687">
        <v>3.83</v>
      </c>
      <c r="J687" s="1">
        <v>1.9</v>
      </c>
      <c r="K687" t="str">
        <f t="shared" si="32"/>
        <v>1-2 hours</v>
      </c>
      <c r="L687" t="s">
        <v>13</v>
      </c>
      <c r="M687">
        <v>4</v>
      </c>
      <c r="N687">
        <v>6</v>
      </c>
      <c r="O687">
        <v>6</v>
      </c>
      <c r="P687">
        <v>0</v>
      </c>
    </row>
    <row r="688" spans="1:16" x14ac:dyDescent="0.25">
      <c r="A688">
        <v>17</v>
      </c>
      <c r="B688" t="s">
        <v>14</v>
      </c>
      <c r="C688">
        <v>2.6</v>
      </c>
      <c r="D688" t="str">
        <f t="shared" si="30"/>
        <v>Medium</v>
      </c>
      <c r="E688" t="s">
        <v>15</v>
      </c>
      <c r="F688" s="1">
        <v>4.2</v>
      </c>
      <c r="G688" t="str">
        <f t="shared" si="31"/>
        <v>Low</v>
      </c>
      <c r="H688">
        <v>0.7</v>
      </c>
      <c r="I688">
        <v>3.02</v>
      </c>
      <c r="J688" s="1">
        <v>1.6</v>
      </c>
      <c r="K688" t="str">
        <f t="shared" si="32"/>
        <v>1-2 hours</v>
      </c>
      <c r="L688" t="s">
        <v>13</v>
      </c>
      <c r="M688">
        <v>7</v>
      </c>
      <c r="N688">
        <v>4</v>
      </c>
      <c r="O688">
        <v>7</v>
      </c>
      <c r="P688">
        <v>0</v>
      </c>
    </row>
    <row r="689" spans="1:16" x14ac:dyDescent="0.25">
      <c r="A689">
        <v>19</v>
      </c>
      <c r="B689" t="s">
        <v>11</v>
      </c>
      <c r="C689">
        <v>6.5</v>
      </c>
      <c r="D689" t="str">
        <f t="shared" si="30"/>
        <v>Medium</v>
      </c>
      <c r="E689" t="s">
        <v>12</v>
      </c>
      <c r="F689" s="1">
        <v>6</v>
      </c>
      <c r="G689" t="str">
        <f t="shared" si="31"/>
        <v>Low</v>
      </c>
      <c r="H689">
        <v>1.5</v>
      </c>
      <c r="I689">
        <v>2.12</v>
      </c>
      <c r="J689" s="1">
        <v>1.7</v>
      </c>
      <c r="K689" t="str">
        <f t="shared" si="32"/>
        <v>1-2 hours</v>
      </c>
      <c r="L689" t="s">
        <v>17</v>
      </c>
      <c r="M689">
        <v>8</v>
      </c>
      <c r="N689">
        <v>5</v>
      </c>
      <c r="O689">
        <v>7</v>
      </c>
      <c r="P689">
        <v>0</v>
      </c>
    </row>
    <row r="690" spans="1:16" x14ac:dyDescent="0.25">
      <c r="A690">
        <v>16</v>
      </c>
      <c r="B690" t="s">
        <v>14</v>
      </c>
      <c r="C690">
        <v>3.4</v>
      </c>
      <c r="D690" t="str">
        <f t="shared" si="30"/>
        <v>Medium</v>
      </c>
      <c r="E690" t="s">
        <v>12</v>
      </c>
      <c r="F690" s="1">
        <v>5.3</v>
      </c>
      <c r="G690" t="str">
        <f t="shared" si="31"/>
        <v>Low</v>
      </c>
      <c r="H690">
        <v>1.8</v>
      </c>
      <c r="I690">
        <v>3.33</v>
      </c>
      <c r="J690" s="1">
        <v>0.3</v>
      </c>
      <c r="K690" t="str">
        <f t="shared" si="32"/>
        <v>0-1 hours</v>
      </c>
      <c r="L690" t="s">
        <v>13</v>
      </c>
      <c r="M690">
        <v>9</v>
      </c>
      <c r="N690">
        <v>2</v>
      </c>
      <c r="O690">
        <v>4</v>
      </c>
      <c r="P690">
        <v>0</v>
      </c>
    </row>
    <row r="691" spans="1:16" x14ac:dyDescent="0.25">
      <c r="A691">
        <v>16</v>
      </c>
      <c r="B691" t="s">
        <v>11</v>
      </c>
      <c r="C691">
        <v>1.7</v>
      </c>
      <c r="D691" t="str">
        <f t="shared" si="30"/>
        <v>Low</v>
      </c>
      <c r="E691" t="s">
        <v>18</v>
      </c>
      <c r="F691" s="1">
        <v>4.3</v>
      </c>
      <c r="G691" t="str">
        <f t="shared" si="31"/>
        <v>Low</v>
      </c>
      <c r="H691">
        <v>1.4</v>
      </c>
      <c r="I691">
        <v>3.27</v>
      </c>
      <c r="J691" s="1">
        <v>1.2</v>
      </c>
      <c r="K691" t="str">
        <f t="shared" si="32"/>
        <v>1-2 hours</v>
      </c>
      <c r="L691" t="s">
        <v>17</v>
      </c>
      <c r="M691">
        <v>10</v>
      </c>
      <c r="N691">
        <v>4</v>
      </c>
      <c r="O691">
        <v>10</v>
      </c>
      <c r="P691">
        <v>0</v>
      </c>
    </row>
    <row r="692" spans="1:16" x14ac:dyDescent="0.25">
      <c r="A692">
        <v>13</v>
      </c>
      <c r="B692" t="s">
        <v>11</v>
      </c>
      <c r="C692">
        <v>5.6</v>
      </c>
      <c r="D692" t="str">
        <f t="shared" si="30"/>
        <v>Medium</v>
      </c>
      <c r="E692" t="s">
        <v>18</v>
      </c>
      <c r="F692" s="1">
        <v>4.4000000000000004</v>
      </c>
      <c r="G692" t="str">
        <f t="shared" si="31"/>
        <v>Low</v>
      </c>
      <c r="H692">
        <v>2.9</v>
      </c>
      <c r="I692">
        <v>3.19</v>
      </c>
      <c r="J692" s="1">
        <v>0.9</v>
      </c>
      <c r="K692" t="str">
        <f t="shared" si="32"/>
        <v>0-1 hours</v>
      </c>
      <c r="L692" t="s">
        <v>17</v>
      </c>
      <c r="M692">
        <v>6</v>
      </c>
      <c r="N692">
        <v>3</v>
      </c>
      <c r="O692">
        <v>4</v>
      </c>
      <c r="P692">
        <v>0</v>
      </c>
    </row>
    <row r="693" spans="1:16" x14ac:dyDescent="0.25">
      <c r="A693">
        <v>15</v>
      </c>
      <c r="B693" t="s">
        <v>14</v>
      </c>
      <c r="C693">
        <v>8</v>
      </c>
      <c r="D693" t="str">
        <f t="shared" si="30"/>
        <v>High</v>
      </c>
      <c r="E693" t="s">
        <v>18</v>
      </c>
      <c r="F693" s="1">
        <v>5.7</v>
      </c>
      <c r="G693" t="str">
        <f t="shared" si="31"/>
        <v>Low</v>
      </c>
      <c r="H693">
        <v>1.3</v>
      </c>
      <c r="I693">
        <v>3.54</v>
      </c>
      <c r="J693" s="1">
        <v>0.1</v>
      </c>
      <c r="K693" t="str">
        <f t="shared" si="32"/>
        <v>0-1 hours</v>
      </c>
      <c r="L693" t="s">
        <v>16</v>
      </c>
      <c r="M693">
        <v>9</v>
      </c>
      <c r="N693">
        <v>7</v>
      </c>
      <c r="O693">
        <v>5</v>
      </c>
      <c r="P693">
        <v>1</v>
      </c>
    </row>
    <row r="694" spans="1:16" x14ac:dyDescent="0.25">
      <c r="A694">
        <v>15</v>
      </c>
      <c r="B694" t="s">
        <v>14</v>
      </c>
      <c r="C694">
        <v>5.7</v>
      </c>
      <c r="D694" t="str">
        <f t="shared" si="30"/>
        <v>Medium</v>
      </c>
      <c r="E694" t="s">
        <v>12</v>
      </c>
      <c r="F694" s="1">
        <v>8.4</v>
      </c>
      <c r="G694" t="str">
        <f t="shared" si="31"/>
        <v>Normal</v>
      </c>
      <c r="H694">
        <v>1.3</v>
      </c>
      <c r="I694">
        <v>2.48</v>
      </c>
      <c r="J694" s="1">
        <v>0.9</v>
      </c>
      <c r="K694" t="str">
        <f t="shared" si="32"/>
        <v>0-1 hours</v>
      </c>
      <c r="L694" t="s">
        <v>16</v>
      </c>
      <c r="M694">
        <v>5</v>
      </c>
      <c r="N694">
        <v>2</v>
      </c>
      <c r="O694">
        <v>4</v>
      </c>
      <c r="P694">
        <v>0</v>
      </c>
    </row>
    <row r="695" spans="1:16" x14ac:dyDescent="0.25">
      <c r="A695">
        <v>16</v>
      </c>
      <c r="B695" t="s">
        <v>14</v>
      </c>
      <c r="C695">
        <v>4</v>
      </c>
      <c r="D695" t="str">
        <f t="shared" si="30"/>
        <v>Medium</v>
      </c>
      <c r="E695" t="s">
        <v>15</v>
      </c>
      <c r="F695" s="1">
        <v>5.4</v>
      </c>
      <c r="G695" t="str">
        <f t="shared" si="31"/>
        <v>Low</v>
      </c>
      <c r="H695">
        <v>2.7</v>
      </c>
      <c r="I695">
        <v>2.88</v>
      </c>
      <c r="J695" s="1">
        <v>1.2</v>
      </c>
      <c r="K695" t="str">
        <f t="shared" si="32"/>
        <v>1-2 hours</v>
      </c>
      <c r="L695" t="s">
        <v>17</v>
      </c>
      <c r="M695">
        <v>4</v>
      </c>
      <c r="N695">
        <v>10</v>
      </c>
      <c r="O695">
        <v>1</v>
      </c>
      <c r="P695">
        <v>0</v>
      </c>
    </row>
    <row r="696" spans="1:16" x14ac:dyDescent="0.25">
      <c r="A696">
        <v>13</v>
      </c>
      <c r="B696" t="s">
        <v>14</v>
      </c>
      <c r="C696">
        <v>3.5</v>
      </c>
      <c r="D696" t="str">
        <f t="shared" si="30"/>
        <v>Medium</v>
      </c>
      <c r="E696" t="s">
        <v>12</v>
      </c>
      <c r="F696" s="1">
        <v>5.3</v>
      </c>
      <c r="G696" t="str">
        <f t="shared" si="31"/>
        <v>Low</v>
      </c>
      <c r="H696">
        <v>1.7</v>
      </c>
      <c r="I696">
        <v>2.2000000000000002</v>
      </c>
      <c r="J696" s="1">
        <v>0.8</v>
      </c>
      <c r="K696" t="str">
        <f t="shared" si="32"/>
        <v>0-1 hours</v>
      </c>
      <c r="L696" t="s">
        <v>16</v>
      </c>
      <c r="M696">
        <v>6</v>
      </c>
      <c r="N696">
        <v>10</v>
      </c>
      <c r="O696">
        <v>8</v>
      </c>
      <c r="P696">
        <v>0</v>
      </c>
    </row>
    <row r="697" spans="1:16" x14ac:dyDescent="0.25">
      <c r="A697">
        <v>15</v>
      </c>
      <c r="B697" t="s">
        <v>14</v>
      </c>
      <c r="C697">
        <v>4.2</v>
      </c>
      <c r="D697" t="str">
        <f t="shared" si="30"/>
        <v>Medium</v>
      </c>
      <c r="E697" t="s">
        <v>15</v>
      </c>
      <c r="F697" s="1">
        <v>5.5</v>
      </c>
      <c r="G697" t="str">
        <f t="shared" si="31"/>
        <v>Low</v>
      </c>
      <c r="H697">
        <v>1.3</v>
      </c>
      <c r="I697">
        <v>3.49</v>
      </c>
      <c r="J697" s="1">
        <v>0.5</v>
      </c>
      <c r="K697" t="str">
        <f t="shared" si="32"/>
        <v>0-1 hours</v>
      </c>
      <c r="L697" t="s">
        <v>13</v>
      </c>
      <c r="M697">
        <v>2</v>
      </c>
      <c r="N697">
        <v>5</v>
      </c>
      <c r="O697">
        <v>2</v>
      </c>
      <c r="P697">
        <v>0</v>
      </c>
    </row>
    <row r="698" spans="1:16" x14ac:dyDescent="0.25">
      <c r="A698">
        <v>19</v>
      </c>
      <c r="B698" t="s">
        <v>14</v>
      </c>
      <c r="C698">
        <v>3.9</v>
      </c>
      <c r="D698" t="str">
        <f t="shared" si="30"/>
        <v>Medium</v>
      </c>
      <c r="E698" t="s">
        <v>15</v>
      </c>
      <c r="F698" s="1">
        <v>7.4</v>
      </c>
      <c r="G698" t="str">
        <f t="shared" si="31"/>
        <v>Low</v>
      </c>
      <c r="H698">
        <v>2.5</v>
      </c>
      <c r="I698">
        <v>3.74</v>
      </c>
      <c r="J698" s="1">
        <v>0.3</v>
      </c>
      <c r="K698" t="str">
        <f t="shared" si="32"/>
        <v>0-1 hours</v>
      </c>
      <c r="L698" t="s">
        <v>17</v>
      </c>
      <c r="M698">
        <v>5</v>
      </c>
      <c r="N698">
        <v>8</v>
      </c>
      <c r="O698">
        <v>3</v>
      </c>
      <c r="P698">
        <v>0</v>
      </c>
    </row>
    <row r="699" spans="1:16" x14ac:dyDescent="0.25">
      <c r="A699">
        <v>17</v>
      </c>
      <c r="B699" t="s">
        <v>14</v>
      </c>
      <c r="C699">
        <v>6.7</v>
      </c>
      <c r="D699" t="str">
        <f t="shared" si="30"/>
        <v>Medium</v>
      </c>
      <c r="E699" t="s">
        <v>12</v>
      </c>
      <c r="F699" s="1">
        <v>4.3</v>
      </c>
      <c r="G699" t="str">
        <f t="shared" si="31"/>
        <v>Low</v>
      </c>
      <c r="H699">
        <v>0.6</v>
      </c>
      <c r="I699">
        <v>3.76</v>
      </c>
      <c r="J699" s="1">
        <v>0</v>
      </c>
      <c r="K699" t="str">
        <f t="shared" si="32"/>
        <v>No activity</v>
      </c>
      <c r="L699" t="s">
        <v>13</v>
      </c>
      <c r="M699">
        <v>2</v>
      </c>
      <c r="N699">
        <v>1</v>
      </c>
      <c r="O699">
        <v>7</v>
      </c>
      <c r="P699">
        <v>0</v>
      </c>
    </row>
    <row r="700" spans="1:16" x14ac:dyDescent="0.25">
      <c r="A700">
        <v>15</v>
      </c>
      <c r="B700" t="s">
        <v>11</v>
      </c>
      <c r="C700">
        <v>6.7</v>
      </c>
      <c r="D700" t="str">
        <f t="shared" si="30"/>
        <v>Medium</v>
      </c>
      <c r="E700" t="s">
        <v>18</v>
      </c>
      <c r="F700" s="1">
        <v>4.3</v>
      </c>
      <c r="G700" t="str">
        <f t="shared" si="31"/>
        <v>Low</v>
      </c>
      <c r="H700">
        <v>1.8</v>
      </c>
      <c r="I700">
        <v>3.69</v>
      </c>
      <c r="J700" s="1">
        <v>0.7</v>
      </c>
      <c r="K700" t="str">
        <f t="shared" si="32"/>
        <v>0-1 hours</v>
      </c>
      <c r="L700" t="s">
        <v>16</v>
      </c>
      <c r="M700">
        <v>2</v>
      </c>
      <c r="N700">
        <v>8</v>
      </c>
      <c r="O700">
        <v>7</v>
      </c>
      <c r="P700">
        <v>0</v>
      </c>
    </row>
    <row r="701" spans="1:16" x14ac:dyDescent="0.25">
      <c r="A701">
        <v>14</v>
      </c>
      <c r="B701" t="s">
        <v>14</v>
      </c>
      <c r="C701">
        <v>3.4</v>
      </c>
      <c r="D701" t="str">
        <f t="shared" si="30"/>
        <v>Medium</v>
      </c>
      <c r="E701" t="s">
        <v>12</v>
      </c>
      <c r="F701" s="1">
        <v>5.6</v>
      </c>
      <c r="G701" t="str">
        <f t="shared" si="31"/>
        <v>Low</v>
      </c>
      <c r="H701">
        <v>1.7</v>
      </c>
      <c r="I701">
        <v>3.38</v>
      </c>
      <c r="J701" s="1">
        <v>0.3</v>
      </c>
      <c r="K701" t="str">
        <f t="shared" si="32"/>
        <v>0-1 hours</v>
      </c>
      <c r="L701" t="s">
        <v>16</v>
      </c>
      <c r="M701">
        <v>9</v>
      </c>
      <c r="N701">
        <v>3</v>
      </c>
      <c r="O701">
        <v>1</v>
      </c>
      <c r="P701">
        <v>0</v>
      </c>
    </row>
    <row r="702" spans="1:16" x14ac:dyDescent="0.25">
      <c r="A702">
        <v>16</v>
      </c>
      <c r="B702" t="s">
        <v>11</v>
      </c>
      <c r="C702">
        <v>5</v>
      </c>
      <c r="D702" t="str">
        <f t="shared" si="30"/>
        <v>Medium</v>
      </c>
      <c r="E702" t="s">
        <v>15</v>
      </c>
      <c r="F702" s="1">
        <v>4.3</v>
      </c>
      <c r="G702" t="str">
        <f t="shared" si="31"/>
        <v>Low</v>
      </c>
      <c r="H702">
        <v>0.7</v>
      </c>
      <c r="I702">
        <v>3.68</v>
      </c>
      <c r="J702" s="1">
        <v>1.2</v>
      </c>
      <c r="K702" t="str">
        <f t="shared" si="32"/>
        <v>1-2 hours</v>
      </c>
      <c r="L702" t="s">
        <v>13</v>
      </c>
      <c r="M702">
        <v>6</v>
      </c>
      <c r="N702">
        <v>2</v>
      </c>
      <c r="O702">
        <v>4</v>
      </c>
      <c r="P702">
        <v>0</v>
      </c>
    </row>
    <row r="703" spans="1:16" x14ac:dyDescent="0.25">
      <c r="A703">
        <v>18</v>
      </c>
      <c r="B703" t="s">
        <v>14</v>
      </c>
      <c r="C703">
        <v>3.8</v>
      </c>
      <c r="D703" t="str">
        <f t="shared" si="30"/>
        <v>Medium</v>
      </c>
      <c r="E703" t="s">
        <v>12</v>
      </c>
      <c r="F703" s="1">
        <v>5.9</v>
      </c>
      <c r="G703" t="str">
        <f t="shared" si="31"/>
        <v>Low</v>
      </c>
      <c r="H703">
        <v>1</v>
      </c>
      <c r="I703">
        <v>2.2200000000000002</v>
      </c>
      <c r="J703" s="1">
        <v>0.6</v>
      </c>
      <c r="K703" t="str">
        <f t="shared" si="32"/>
        <v>0-1 hours</v>
      </c>
      <c r="L703" t="s">
        <v>13</v>
      </c>
      <c r="M703">
        <v>9</v>
      </c>
      <c r="N703">
        <v>10</v>
      </c>
      <c r="O703">
        <v>9</v>
      </c>
      <c r="P703">
        <v>0</v>
      </c>
    </row>
    <row r="704" spans="1:16" x14ac:dyDescent="0.25">
      <c r="A704">
        <v>15</v>
      </c>
      <c r="B704" t="s">
        <v>14</v>
      </c>
      <c r="C704">
        <v>7.3</v>
      </c>
      <c r="D704" t="str">
        <f t="shared" si="30"/>
        <v>High</v>
      </c>
      <c r="E704" t="s">
        <v>15</v>
      </c>
      <c r="F704" s="1">
        <v>7.3</v>
      </c>
      <c r="G704" t="str">
        <f t="shared" si="31"/>
        <v>Low</v>
      </c>
      <c r="H704">
        <v>2.8</v>
      </c>
      <c r="I704">
        <v>2.46</v>
      </c>
      <c r="J704" s="1">
        <v>0.3</v>
      </c>
      <c r="K704" t="str">
        <f t="shared" si="32"/>
        <v>0-1 hours</v>
      </c>
      <c r="L704" t="s">
        <v>13</v>
      </c>
      <c r="M704">
        <v>2</v>
      </c>
      <c r="N704">
        <v>7</v>
      </c>
      <c r="O704">
        <v>5</v>
      </c>
      <c r="P704">
        <v>0</v>
      </c>
    </row>
    <row r="705" spans="1:16" x14ac:dyDescent="0.25">
      <c r="A705">
        <v>18</v>
      </c>
      <c r="B705" t="s">
        <v>14</v>
      </c>
      <c r="C705">
        <v>7.2</v>
      </c>
      <c r="D705" t="str">
        <f t="shared" si="30"/>
        <v>High</v>
      </c>
      <c r="E705" t="s">
        <v>15</v>
      </c>
      <c r="F705" s="1">
        <v>5</v>
      </c>
      <c r="G705" t="str">
        <f t="shared" si="31"/>
        <v>Low</v>
      </c>
      <c r="H705">
        <v>1.4</v>
      </c>
      <c r="I705">
        <v>3.65</v>
      </c>
      <c r="J705" s="1">
        <v>1.1000000000000001</v>
      </c>
      <c r="K705" t="str">
        <f t="shared" si="32"/>
        <v>1-2 hours</v>
      </c>
      <c r="L705" t="s">
        <v>13</v>
      </c>
      <c r="M705">
        <v>8</v>
      </c>
      <c r="N705">
        <v>8</v>
      </c>
      <c r="O705">
        <v>4</v>
      </c>
      <c r="P705">
        <v>1</v>
      </c>
    </row>
    <row r="706" spans="1:16" x14ac:dyDescent="0.25">
      <c r="A706">
        <v>15</v>
      </c>
      <c r="B706" t="s">
        <v>14</v>
      </c>
      <c r="C706">
        <v>3.1</v>
      </c>
      <c r="D706" t="str">
        <f t="shared" ref="D706:D769" si="33">IF(C706&lt;2,"Low",IF(C706&lt;7,"Medium","High"))</f>
        <v>Medium</v>
      </c>
      <c r="E706" t="s">
        <v>18</v>
      </c>
      <c r="F706" s="1">
        <v>4.2</v>
      </c>
      <c r="G706" t="str">
        <f t="shared" ref="G706:G769" si="34">IF(F706&gt;=8,"Normal","Low")</f>
        <v>Low</v>
      </c>
      <c r="H706">
        <v>2.1</v>
      </c>
      <c r="I706">
        <v>3.21</v>
      </c>
      <c r="J706" s="1">
        <v>1.1000000000000001</v>
      </c>
      <c r="K706" t="str">
        <f t="shared" ref="K706:K769" si="35">IF(J706=0,"No activity",IF(J706&lt;=1,"0-1 hours","1-2 hours"))</f>
        <v>1-2 hours</v>
      </c>
      <c r="L706" t="s">
        <v>17</v>
      </c>
      <c r="M706">
        <v>8</v>
      </c>
      <c r="N706">
        <v>2</v>
      </c>
      <c r="O706">
        <v>10</v>
      </c>
      <c r="P706">
        <v>0</v>
      </c>
    </row>
    <row r="707" spans="1:16" x14ac:dyDescent="0.25">
      <c r="A707">
        <v>15</v>
      </c>
      <c r="B707" t="s">
        <v>14</v>
      </c>
      <c r="C707">
        <v>8</v>
      </c>
      <c r="D707" t="str">
        <f t="shared" si="33"/>
        <v>High</v>
      </c>
      <c r="E707" t="s">
        <v>12</v>
      </c>
      <c r="F707" s="1">
        <v>4.4000000000000004</v>
      </c>
      <c r="G707" t="str">
        <f t="shared" si="34"/>
        <v>Low</v>
      </c>
      <c r="H707">
        <v>0.7</v>
      </c>
      <c r="I707">
        <v>2.62</v>
      </c>
      <c r="J707" s="1">
        <v>1.6</v>
      </c>
      <c r="K707" t="str">
        <f t="shared" si="35"/>
        <v>1-2 hours</v>
      </c>
      <c r="L707" t="s">
        <v>16</v>
      </c>
      <c r="M707">
        <v>6</v>
      </c>
      <c r="N707">
        <v>7</v>
      </c>
      <c r="O707">
        <v>2</v>
      </c>
      <c r="P707">
        <v>0</v>
      </c>
    </row>
    <row r="708" spans="1:16" x14ac:dyDescent="0.25">
      <c r="A708">
        <v>15</v>
      </c>
      <c r="B708" t="s">
        <v>11</v>
      </c>
      <c r="C708">
        <v>4.3</v>
      </c>
      <c r="D708" t="str">
        <f t="shared" si="33"/>
        <v>Medium</v>
      </c>
      <c r="E708" t="s">
        <v>12</v>
      </c>
      <c r="F708" s="1">
        <v>7.5</v>
      </c>
      <c r="G708" t="str">
        <f t="shared" si="34"/>
        <v>Low</v>
      </c>
      <c r="H708">
        <v>1.1000000000000001</v>
      </c>
      <c r="I708">
        <v>2.06</v>
      </c>
      <c r="J708" s="1">
        <v>1.8</v>
      </c>
      <c r="K708" t="str">
        <f t="shared" si="35"/>
        <v>1-2 hours</v>
      </c>
      <c r="L708" t="s">
        <v>17</v>
      </c>
      <c r="M708">
        <v>5</v>
      </c>
      <c r="N708">
        <v>7</v>
      </c>
      <c r="O708">
        <v>2</v>
      </c>
      <c r="P708">
        <v>0</v>
      </c>
    </row>
    <row r="709" spans="1:16" x14ac:dyDescent="0.25">
      <c r="A709">
        <v>14</v>
      </c>
      <c r="B709" t="s">
        <v>14</v>
      </c>
      <c r="C709">
        <v>4</v>
      </c>
      <c r="D709" t="str">
        <f t="shared" si="33"/>
        <v>Medium</v>
      </c>
      <c r="E709" t="s">
        <v>15</v>
      </c>
      <c r="F709" s="1">
        <v>5.0999999999999996</v>
      </c>
      <c r="G709" t="str">
        <f t="shared" si="34"/>
        <v>Low</v>
      </c>
      <c r="H709">
        <v>1.1000000000000001</v>
      </c>
      <c r="I709">
        <v>3.98</v>
      </c>
      <c r="J709" s="1">
        <v>1.3</v>
      </c>
      <c r="K709" t="str">
        <f t="shared" si="35"/>
        <v>1-2 hours</v>
      </c>
      <c r="L709" t="s">
        <v>17</v>
      </c>
      <c r="M709">
        <v>5</v>
      </c>
      <c r="N709">
        <v>4</v>
      </c>
      <c r="O709">
        <v>9</v>
      </c>
      <c r="P709">
        <v>0</v>
      </c>
    </row>
    <row r="710" spans="1:16" x14ac:dyDescent="0.25">
      <c r="A710">
        <v>15</v>
      </c>
      <c r="B710" t="s">
        <v>11</v>
      </c>
      <c r="C710">
        <v>6.9</v>
      </c>
      <c r="D710" t="str">
        <f t="shared" si="33"/>
        <v>Medium</v>
      </c>
      <c r="E710" t="s">
        <v>15</v>
      </c>
      <c r="F710" s="1">
        <v>5.6</v>
      </c>
      <c r="G710" t="str">
        <f t="shared" si="34"/>
        <v>Low</v>
      </c>
      <c r="H710">
        <v>1.4</v>
      </c>
      <c r="I710">
        <v>2.09</v>
      </c>
      <c r="J710" s="1">
        <v>0.7</v>
      </c>
      <c r="K710" t="str">
        <f t="shared" si="35"/>
        <v>0-1 hours</v>
      </c>
      <c r="L710" t="s">
        <v>13</v>
      </c>
      <c r="M710">
        <v>9</v>
      </c>
      <c r="N710">
        <v>5</v>
      </c>
      <c r="O710">
        <v>9</v>
      </c>
      <c r="P710">
        <v>0</v>
      </c>
    </row>
    <row r="711" spans="1:16" x14ac:dyDescent="0.25">
      <c r="A711">
        <v>13</v>
      </c>
      <c r="B711" t="s">
        <v>11</v>
      </c>
      <c r="C711">
        <v>7</v>
      </c>
      <c r="D711" t="str">
        <f t="shared" si="33"/>
        <v>High</v>
      </c>
      <c r="E711" t="s">
        <v>15</v>
      </c>
      <c r="F711" s="1">
        <v>4.4000000000000004</v>
      </c>
      <c r="G711" t="str">
        <f t="shared" si="34"/>
        <v>Low</v>
      </c>
      <c r="H711">
        <v>0.9</v>
      </c>
      <c r="I711">
        <v>3.67</v>
      </c>
      <c r="J711" s="1">
        <v>0.4</v>
      </c>
      <c r="K711" t="str">
        <f t="shared" si="35"/>
        <v>0-1 hours</v>
      </c>
      <c r="L711" t="s">
        <v>13</v>
      </c>
      <c r="M711">
        <v>5</v>
      </c>
      <c r="N711">
        <v>3</v>
      </c>
      <c r="O711">
        <v>6</v>
      </c>
      <c r="P711">
        <v>0</v>
      </c>
    </row>
    <row r="712" spans="1:16" x14ac:dyDescent="0.25">
      <c r="A712">
        <v>13</v>
      </c>
      <c r="B712" t="s">
        <v>11</v>
      </c>
      <c r="C712">
        <v>6.2</v>
      </c>
      <c r="D712" t="str">
        <f t="shared" si="33"/>
        <v>Medium</v>
      </c>
      <c r="E712" t="s">
        <v>12</v>
      </c>
      <c r="F712" s="1">
        <v>8.6</v>
      </c>
      <c r="G712" t="str">
        <f t="shared" si="34"/>
        <v>Normal</v>
      </c>
      <c r="H712">
        <v>1.8</v>
      </c>
      <c r="I712">
        <v>2.19</v>
      </c>
      <c r="J712" s="1">
        <v>0.7</v>
      </c>
      <c r="K712" t="str">
        <f t="shared" si="35"/>
        <v>0-1 hours</v>
      </c>
      <c r="L712" t="s">
        <v>16</v>
      </c>
      <c r="M712">
        <v>8</v>
      </c>
      <c r="N712">
        <v>4</v>
      </c>
      <c r="O712">
        <v>7</v>
      </c>
      <c r="P712">
        <v>0</v>
      </c>
    </row>
    <row r="713" spans="1:16" x14ac:dyDescent="0.25">
      <c r="A713">
        <v>15</v>
      </c>
      <c r="B713" t="s">
        <v>11</v>
      </c>
      <c r="C713">
        <v>7.7</v>
      </c>
      <c r="D713" t="str">
        <f t="shared" si="33"/>
        <v>High</v>
      </c>
      <c r="E713" t="s">
        <v>12</v>
      </c>
      <c r="F713" s="1">
        <v>8</v>
      </c>
      <c r="G713" t="str">
        <f t="shared" si="34"/>
        <v>Normal</v>
      </c>
      <c r="H713">
        <v>1.3</v>
      </c>
      <c r="I713">
        <v>3.78</v>
      </c>
      <c r="J713" s="1">
        <v>1.1000000000000001</v>
      </c>
      <c r="K713" t="str">
        <f t="shared" si="35"/>
        <v>1-2 hours</v>
      </c>
      <c r="L713" t="s">
        <v>17</v>
      </c>
      <c r="M713">
        <v>1</v>
      </c>
      <c r="N713">
        <v>6</v>
      </c>
      <c r="O713">
        <v>5</v>
      </c>
      <c r="P713">
        <v>0</v>
      </c>
    </row>
    <row r="714" spans="1:16" x14ac:dyDescent="0.25">
      <c r="A714">
        <v>19</v>
      </c>
      <c r="B714" t="s">
        <v>14</v>
      </c>
      <c r="C714">
        <v>5.0999999999999996</v>
      </c>
      <c r="D714" t="str">
        <f t="shared" si="33"/>
        <v>Medium</v>
      </c>
      <c r="E714" t="s">
        <v>18</v>
      </c>
      <c r="F714" s="1">
        <v>6.3</v>
      </c>
      <c r="G714" t="str">
        <f t="shared" si="34"/>
        <v>Low</v>
      </c>
      <c r="H714">
        <v>2.2999999999999998</v>
      </c>
      <c r="I714">
        <v>2.5499999999999998</v>
      </c>
      <c r="J714" s="1">
        <v>2</v>
      </c>
      <c r="K714" t="str">
        <f t="shared" si="35"/>
        <v>1-2 hours</v>
      </c>
      <c r="L714" t="s">
        <v>17</v>
      </c>
      <c r="M714">
        <v>6</v>
      </c>
      <c r="N714">
        <v>9</v>
      </c>
      <c r="O714">
        <v>7</v>
      </c>
      <c r="P714">
        <v>0</v>
      </c>
    </row>
    <row r="715" spans="1:16" x14ac:dyDescent="0.25">
      <c r="A715">
        <v>15</v>
      </c>
      <c r="B715" t="s">
        <v>11</v>
      </c>
      <c r="C715">
        <v>1</v>
      </c>
      <c r="D715" t="str">
        <f t="shared" si="33"/>
        <v>Low</v>
      </c>
      <c r="E715" t="s">
        <v>15</v>
      </c>
      <c r="F715" s="1">
        <v>8.5</v>
      </c>
      <c r="G715" t="str">
        <f t="shared" si="34"/>
        <v>Normal</v>
      </c>
      <c r="H715">
        <v>2</v>
      </c>
      <c r="I715">
        <v>3.77</v>
      </c>
      <c r="J715" s="1">
        <v>1.9</v>
      </c>
      <c r="K715" t="str">
        <f t="shared" si="35"/>
        <v>1-2 hours</v>
      </c>
      <c r="L715" t="s">
        <v>16</v>
      </c>
      <c r="M715">
        <v>4</v>
      </c>
      <c r="N715">
        <v>1</v>
      </c>
      <c r="O715">
        <v>7</v>
      </c>
      <c r="P715">
        <v>0</v>
      </c>
    </row>
    <row r="716" spans="1:16" x14ac:dyDescent="0.25">
      <c r="A716">
        <v>15</v>
      </c>
      <c r="B716" t="s">
        <v>14</v>
      </c>
      <c r="C716">
        <v>1.1000000000000001</v>
      </c>
      <c r="D716" t="str">
        <f t="shared" si="33"/>
        <v>Low</v>
      </c>
      <c r="E716" t="s">
        <v>12</v>
      </c>
      <c r="F716" s="1">
        <v>4.5999999999999996</v>
      </c>
      <c r="G716" t="str">
        <f t="shared" si="34"/>
        <v>Low</v>
      </c>
      <c r="H716">
        <v>1.8</v>
      </c>
      <c r="I716">
        <v>2.35</v>
      </c>
      <c r="J716" s="1">
        <v>1.1000000000000001</v>
      </c>
      <c r="K716" t="str">
        <f t="shared" si="35"/>
        <v>1-2 hours</v>
      </c>
      <c r="L716" t="s">
        <v>17</v>
      </c>
      <c r="M716">
        <v>10</v>
      </c>
      <c r="N716">
        <v>6</v>
      </c>
      <c r="O716">
        <v>6</v>
      </c>
      <c r="P716">
        <v>0</v>
      </c>
    </row>
    <row r="717" spans="1:16" x14ac:dyDescent="0.25">
      <c r="A717">
        <v>13</v>
      </c>
      <c r="B717" t="s">
        <v>14</v>
      </c>
      <c r="C717">
        <v>7</v>
      </c>
      <c r="D717" t="str">
        <f t="shared" si="33"/>
        <v>High</v>
      </c>
      <c r="E717" t="s">
        <v>12</v>
      </c>
      <c r="F717" s="1">
        <v>4.9000000000000004</v>
      </c>
      <c r="G717" t="str">
        <f t="shared" si="34"/>
        <v>Low</v>
      </c>
      <c r="H717">
        <v>1.2</v>
      </c>
      <c r="I717">
        <v>3.61</v>
      </c>
      <c r="J717" s="1">
        <v>0.2</v>
      </c>
      <c r="K717" t="str">
        <f t="shared" si="35"/>
        <v>0-1 hours</v>
      </c>
      <c r="L717" t="s">
        <v>17</v>
      </c>
      <c r="M717">
        <v>2</v>
      </c>
      <c r="N717">
        <v>3</v>
      </c>
      <c r="O717">
        <v>5</v>
      </c>
      <c r="P717">
        <v>0</v>
      </c>
    </row>
    <row r="718" spans="1:16" x14ac:dyDescent="0.25">
      <c r="A718">
        <v>15</v>
      </c>
      <c r="B718" t="s">
        <v>14</v>
      </c>
      <c r="C718">
        <v>2.7</v>
      </c>
      <c r="D718" t="str">
        <f t="shared" si="33"/>
        <v>Medium</v>
      </c>
      <c r="E718" t="s">
        <v>18</v>
      </c>
      <c r="F718" s="1">
        <v>7.8</v>
      </c>
      <c r="G718" t="str">
        <f t="shared" si="34"/>
        <v>Low</v>
      </c>
      <c r="H718">
        <v>1.8</v>
      </c>
      <c r="I718">
        <v>3.9</v>
      </c>
      <c r="J718" s="1">
        <v>1.4</v>
      </c>
      <c r="K718" t="str">
        <f t="shared" si="35"/>
        <v>1-2 hours</v>
      </c>
      <c r="L718" t="s">
        <v>13</v>
      </c>
      <c r="M718">
        <v>5</v>
      </c>
      <c r="N718">
        <v>8</v>
      </c>
      <c r="O718">
        <v>9</v>
      </c>
      <c r="P718">
        <v>0</v>
      </c>
    </row>
    <row r="719" spans="1:16" x14ac:dyDescent="0.25">
      <c r="A719">
        <v>18</v>
      </c>
      <c r="B719" t="s">
        <v>11</v>
      </c>
      <c r="C719">
        <v>2.5</v>
      </c>
      <c r="D719" t="str">
        <f t="shared" si="33"/>
        <v>Medium</v>
      </c>
      <c r="E719" t="s">
        <v>12</v>
      </c>
      <c r="F719" s="1">
        <v>4.2</v>
      </c>
      <c r="G719" t="str">
        <f t="shared" si="34"/>
        <v>Low</v>
      </c>
      <c r="H719">
        <v>1.4</v>
      </c>
      <c r="I719">
        <v>3.9</v>
      </c>
      <c r="J719" s="1">
        <v>0.7</v>
      </c>
      <c r="K719" t="str">
        <f t="shared" si="35"/>
        <v>0-1 hours</v>
      </c>
      <c r="L719" t="s">
        <v>16</v>
      </c>
      <c r="M719">
        <v>5</v>
      </c>
      <c r="N719">
        <v>2</v>
      </c>
      <c r="O719">
        <v>3</v>
      </c>
      <c r="P719">
        <v>0</v>
      </c>
    </row>
    <row r="720" spans="1:16" x14ac:dyDescent="0.25">
      <c r="A720">
        <v>18</v>
      </c>
      <c r="B720" t="s">
        <v>14</v>
      </c>
      <c r="C720">
        <v>2.2999999999999998</v>
      </c>
      <c r="D720" t="str">
        <f t="shared" si="33"/>
        <v>Medium</v>
      </c>
      <c r="E720" t="s">
        <v>15</v>
      </c>
      <c r="F720" s="1">
        <v>4.3</v>
      </c>
      <c r="G720" t="str">
        <f t="shared" si="34"/>
        <v>Low</v>
      </c>
      <c r="H720">
        <v>0.9</v>
      </c>
      <c r="I720">
        <v>3.27</v>
      </c>
      <c r="J720" s="1">
        <v>0.1</v>
      </c>
      <c r="K720" t="str">
        <f t="shared" si="35"/>
        <v>0-1 hours</v>
      </c>
      <c r="L720" t="s">
        <v>16</v>
      </c>
      <c r="M720">
        <v>5</v>
      </c>
      <c r="N720">
        <v>9</v>
      </c>
      <c r="O720">
        <v>10</v>
      </c>
      <c r="P720">
        <v>0</v>
      </c>
    </row>
    <row r="721" spans="1:16" x14ac:dyDescent="0.25">
      <c r="A721">
        <v>17</v>
      </c>
      <c r="B721" t="s">
        <v>14</v>
      </c>
      <c r="C721">
        <v>2.7</v>
      </c>
      <c r="D721" t="str">
        <f t="shared" si="33"/>
        <v>Medium</v>
      </c>
      <c r="E721" t="s">
        <v>15</v>
      </c>
      <c r="F721" s="1">
        <v>6.6</v>
      </c>
      <c r="G721" t="str">
        <f t="shared" si="34"/>
        <v>Low</v>
      </c>
      <c r="H721">
        <v>1.6</v>
      </c>
      <c r="I721">
        <v>3.36</v>
      </c>
      <c r="J721" s="1">
        <v>1.6</v>
      </c>
      <c r="K721" t="str">
        <f t="shared" si="35"/>
        <v>1-2 hours</v>
      </c>
      <c r="L721" t="s">
        <v>16</v>
      </c>
      <c r="M721">
        <v>3</v>
      </c>
      <c r="N721">
        <v>1</v>
      </c>
      <c r="O721">
        <v>2</v>
      </c>
      <c r="P721">
        <v>0</v>
      </c>
    </row>
    <row r="722" spans="1:16" x14ac:dyDescent="0.25">
      <c r="A722">
        <v>14</v>
      </c>
      <c r="B722" t="s">
        <v>11</v>
      </c>
      <c r="C722">
        <v>3.2</v>
      </c>
      <c r="D722" t="str">
        <f t="shared" si="33"/>
        <v>Medium</v>
      </c>
      <c r="E722" t="s">
        <v>12</v>
      </c>
      <c r="F722" s="1">
        <v>5.4</v>
      </c>
      <c r="G722" t="str">
        <f t="shared" si="34"/>
        <v>Low</v>
      </c>
      <c r="H722">
        <v>2.6</v>
      </c>
      <c r="I722">
        <v>3.18</v>
      </c>
      <c r="J722" s="1">
        <v>0.9</v>
      </c>
      <c r="K722" t="str">
        <f t="shared" si="35"/>
        <v>0-1 hours</v>
      </c>
      <c r="L722" t="s">
        <v>13</v>
      </c>
      <c r="M722">
        <v>9</v>
      </c>
      <c r="N722">
        <v>1</v>
      </c>
      <c r="O722">
        <v>7</v>
      </c>
      <c r="P722">
        <v>0</v>
      </c>
    </row>
    <row r="723" spans="1:16" x14ac:dyDescent="0.25">
      <c r="A723">
        <v>18</v>
      </c>
      <c r="B723" t="s">
        <v>14</v>
      </c>
      <c r="C723">
        <v>3.8</v>
      </c>
      <c r="D723" t="str">
        <f t="shared" si="33"/>
        <v>Medium</v>
      </c>
      <c r="E723" t="s">
        <v>18</v>
      </c>
      <c r="F723" s="1">
        <v>5.3</v>
      </c>
      <c r="G723" t="str">
        <f t="shared" si="34"/>
        <v>Low</v>
      </c>
      <c r="H723">
        <v>2.2999999999999998</v>
      </c>
      <c r="I723">
        <v>3.42</v>
      </c>
      <c r="J723" s="1">
        <v>0.4</v>
      </c>
      <c r="K723" t="str">
        <f t="shared" si="35"/>
        <v>0-1 hours</v>
      </c>
      <c r="L723" t="s">
        <v>13</v>
      </c>
      <c r="M723">
        <v>4</v>
      </c>
      <c r="N723">
        <v>8</v>
      </c>
      <c r="O723">
        <v>2</v>
      </c>
      <c r="P723">
        <v>0</v>
      </c>
    </row>
    <row r="724" spans="1:16" x14ac:dyDescent="0.25">
      <c r="A724">
        <v>14</v>
      </c>
      <c r="B724" t="s">
        <v>14</v>
      </c>
      <c r="C724">
        <v>4.0999999999999996</v>
      </c>
      <c r="D724" t="str">
        <f t="shared" si="33"/>
        <v>Medium</v>
      </c>
      <c r="E724" t="s">
        <v>15</v>
      </c>
      <c r="F724" s="1">
        <v>5.4</v>
      </c>
      <c r="G724" t="str">
        <f t="shared" si="34"/>
        <v>Low</v>
      </c>
      <c r="H724">
        <v>2.4</v>
      </c>
      <c r="I724">
        <v>2.71</v>
      </c>
      <c r="J724" s="1">
        <v>1.3</v>
      </c>
      <c r="K724" t="str">
        <f t="shared" si="35"/>
        <v>1-2 hours</v>
      </c>
      <c r="L724" t="s">
        <v>13</v>
      </c>
      <c r="M724">
        <v>9</v>
      </c>
      <c r="N724">
        <v>5</v>
      </c>
      <c r="O724">
        <v>10</v>
      </c>
      <c r="P724">
        <v>0</v>
      </c>
    </row>
    <row r="725" spans="1:16" x14ac:dyDescent="0.25">
      <c r="A725">
        <v>13</v>
      </c>
      <c r="B725" t="s">
        <v>14</v>
      </c>
      <c r="C725">
        <v>2.2999999999999998</v>
      </c>
      <c r="D725" t="str">
        <f t="shared" si="33"/>
        <v>Medium</v>
      </c>
      <c r="E725" t="s">
        <v>15</v>
      </c>
      <c r="F725" s="1">
        <v>6.6</v>
      </c>
      <c r="G725" t="str">
        <f t="shared" si="34"/>
        <v>Low</v>
      </c>
      <c r="H725">
        <v>1.4</v>
      </c>
      <c r="I725">
        <v>3.74</v>
      </c>
      <c r="J725" s="1">
        <v>1.5</v>
      </c>
      <c r="K725" t="str">
        <f t="shared" si="35"/>
        <v>1-2 hours</v>
      </c>
      <c r="L725" t="s">
        <v>17</v>
      </c>
      <c r="M725">
        <v>6</v>
      </c>
      <c r="N725">
        <v>10</v>
      </c>
      <c r="O725">
        <v>1</v>
      </c>
      <c r="P725">
        <v>0</v>
      </c>
    </row>
    <row r="726" spans="1:16" x14ac:dyDescent="0.25">
      <c r="A726">
        <v>15</v>
      </c>
      <c r="B726" t="s">
        <v>11</v>
      </c>
      <c r="C726">
        <v>8</v>
      </c>
      <c r="D726" t="str">
        <f t="shared" si="33"/>
        <v>High</v>
      </c>
      <c r="E726" t="s">
        <v>12</v>
      </c>
      <c r="F726" s="1">
        <v>4.7</v>
      </c>
      <c r="G726" t="str">
        <f t="shared" si="34"/>
        <v>Low</v>
      </c>
      <c r="H726">
        <v>0.6</v>
      </c>
      <c r="I726">
        <v>3.01</v>
      </c>
      <c r="J726" s="1">
        <v>1.8</v>
      </c>
      <c r="K726" t="str">
        <f t="shared" si="35"/>
        <v>1-2 hours</v>
      </c>
      <c r="L726" t="s">
        <v>17</v>
      </c>
      <c r="M726">
        <v>2</v>
      </c>
      <c r="N726">
        <v>9</v>
      </c>
      <c r="O726">
        <v>10</v>
      </c>
      <c r="P726">
        <v>0</v>
      </c>
    </row>
    <row r="727" spans="1:16" x14ac:dyDescent="0.25">
      <c r="A727">
        <v>15</v>
      </c>
      <c r="B727" t="s">
        <v>14</v>
      </c>
      <c r="C727">
        <v>2.9</v>
      </c>
      <c r="D727" t="str">
        <f t="shared" si="33"/>
        <v>Medium</v>
      </c>
      <c r="E727" t="s">
        <v>15</v>
      </c>
      <c r="F727" s="1">
        <v>6.4</v>
      </c>
      <c r="G727" t="str">
        <f t="shared" si="34"/>
        <v>Low</v>
      </c>
      <c r="H727">
        <v>0.7</v>
      </c>
      <c r="I727">
        <v>3.41</v>
      </c>
      <c r="J727" s="1">
        <v>1.6</v>
      </c>
      <c r="K727" t="str">
        <f t="shared" si="35"/>
        <v>1-2 hours</v>
      </c>
      <c r="L727" t="s">
        <v>13</v>
      </c>
      <c r="M727">
        <v>3</v>
      </c>
      <c r="N727">
        <v>10</v>
      </c>
      <c r="O727">
        <v>7</v>
      </c>
      <c r="P727">
        <v>0</v>
      </c>
    </row>
    <row r="728" spans="1:16" x14ac:dyDescent="0.25">
      <c r="A728">
        <v>19</v>
      </c>
      <c r="B728" t="s">
        <v>14</v>
      </c>
      <c r="C728">
        <v>4.4000000000000004</v>
      </c>
      <c r="D728" t="str">
        <f t="shared" si="33"/>
        <v>Medium</v>
      </c>
      <c r="E728" t="s">
        <v>18</v>
      </c>
      <c r="F728" s="1">
        <v>5</v>
      </c>
      <c r="G728" t="str">
        <f t="shared" si="34"/>
        <v>Low</v>
      </c>
      <c r="H728">
        <v>2.8</v>
      </c>
      <c r="I728">
        <v>2.69</v>
      </c>
      <c r="J728" s="1">
        <v>0.4</v>
      </c>
      <c r="K728" t="str">
        <f t="shared" si="35"/>
        <v>0-1 hours</v>
      </c>
      <c r="L728" t="s">
        <v>16</v>
      </c>
      <c r="M728">
        <v>3</v>
      </c>
      <c r="N728">
        <v>8</v>
      </c>
      <c r="O728">
        <v>8</v>
      </c>
      <c r="P728">
        <v>0</v>
      </c>
    </row>
    <row r="729" spans="1:16" x14ac:dyDescent="0.25">
      <c r="A729">
        <v>18</v>
      </c>
      <c r="B729" t="s">
        <v>14</v>
      </c>
      <c r="C729">
        <v>3.1</v>
      </c>
      <c r="D729" t="str">
        <f t="shared" si="33"/>
        <v>Medium</v>
      </c>
      <c r="E729" t="s">
        <v>18</v>
      </c>
      <c r="F729" s="1">
        <v>6.8</v>
      </c>
      <c r="G729" t="str">
        <f t="shared" si="34"/>
        <v>Low</v>
      </c>
      <c r="H729">
        <v>2</v>
      </c>
      <c r="I729">
        <v>3.77</v>
      </c>
      <c r="J729" s="1">
        <v>1.4</v>
      </c>
      <c r="K729" t="str">
        <f t="shared" si="35"/>
        <v>1-2 hours</v>
      </c>
      <c r="L729" t="s">
        <v>13</v>
      </c>
      <c r="M729">
        <v>1</v>
      </c>
      <c r="N729">
        <v>3</v>
      </c>
      <c r="O729">
        <v>4</v>
      </c>
      <c r="P729">
        <v>0</v>
      </c>
    </row>
    <row r="730" spans="1:16" x14ac:dyDescent="0.25">
      <c r="A730">
        <v>18</v>
      </c>
      <c r="B730" t="s">
        <v>11</v>
      </c>
      <c r="C730">
        <v>7.9</v>
      </c>
      <c r="D730" t="str">
        <f t="shared" si="33"/>
        <v>High</v>
      </c>
      <c r="E730" t="s">
        <v>15</v>
      </c>
      <c r="F730" s="1">
        <v>7.5</v>
      </c>
      <c r="G730" t="str">
        <f t="shared" si="34"/>
        <v>Low</v>
      </c>
      <c r="H730">
        <v>2</v>
      </c>
      <c r="I730">
        <v>2.77</v>
      </c>
      <c r="J730" s="1">
        <v>0.9</v>
      </c>
      <c r="K730" t="str">
        <f t="shared" si="35"/>
        <v>0-1 hours</v>
      </c>
      <c r="L730" t="s">
        <v>13</v>
      </c>
      <c r="M730">
        <v>10</v>
      </c>
      <c r="N730">
        <v>4</v>
      </c>
      <c r="O730">
        <v>4</v>
      </c>
      <c r="P730">
        <v>0</v>
      </c>
    </row>
    <row r="731" spans="1:16" x14ac:dyDescent="0.25">
      <c r="A731">
        <v>14</v>
      </c>
      <c r="B731" t="s">
        <v>14</v>
      </c>
      <c r="C731">
        <v>1.2</v>
      </c>
      <c r="D731" t="str">
        <f t="shared" si="33"/>
        <v>Low</v>
      </c>
      <c r="E731" t="s">
        <v>18</v>
      </c>
      <c r="F731" s="1">
        <v>7</v>
      </c>
      <c r="G731" t="str">
        <f t="shared" si="34"/>
        <v>Low</v>
      </c>
      <c r="H731">
        <v>2.2000000000000002</v>
      </c>
      <c r="I731">
        <v>3.83</v>
      </c>
      <c r="J731" s="1">
        <v>0.8</v>
      </c>
      <c r="K731" t="str">
        <f t="shared" si="35"/>
        <v>0-1 hours</v>
      </c>
      <c r="L731" t="s">
        <v>13</v>
      </c>
      <c r="M731">
        <v>6</v>
      </c>
      <c r="N731">
        <v>10</v>
      </c>
      <c r="O731">
        <v>5</v>
      </c>
      <c r="P731">
        <v>0</v>
      </c>
    </row>
    <row r="732" spans="1:16" x14ac:dyDescent="0.25">
      <c r="A732">
        <v>19</v>
      </c>
      <c r="B732" t="s">
        <v>14</v>
      </c>
      <c r="C732">
        <v>4</v>
      </c>
      <c r="D732" t="str">
        <f t="shared" si="33"/>
        <v>Medium</v>
      </c>
      <c r="E732" t="s">
        <v>18</v>
      </c>
      <c r="F732" s="1">
        <v>7.4</v>
      </c>
      <c r="G732" t="str">
        <f t="shared" si="34"/>
        <v>Low</v>
      </c>
      <c r="H732">
        <v>2.7</v>
      </c>
      <c r="I732">
        <v>3.41</v>
      </c>
      <c r="J732" s="1">
        <v>1.4</v>
      </c>
      <c r="K732" t="str">
        <f t="shared" si="35"/>
        <v>1-2 hours</v>
      </c>
      <c r="L732" t="s">
        <v>17</v>
      </c>
      <c r="M732">
        <v>9</v>
      </c>
      <c r="N732">
        <v>4</v>
      </c>
      <c r="O732">
        <v>7</v>
      </c>
      <c r="P732">
        <v>0</v>
      </c>
    </row>
    <row r="733" spans="1:16" x14ac:dyDescent="0.25">
      <c r="A733">
        <v>18</v>
      </c>
      <c r="B733" t="s">
        <v>11</v>
      </c>
      <c r="C733">
        <v>1</v>
      </c>
      <c r="D733" t="str">
        <f t="shared" si="33"/>
        <v>Low</v>
      </c>
      <c r="E733" t="s">
        <v>12</v>
      </c>
      <c r="F733" s="1">
        <v>7.1</v>
      </c>
      <c r="G733" t="str">
        <f t="shared" si="34"/>
        <v>Low</v>
      </c>
      <c r="H733">
        <v>0.8</v>
      </c>
      <c r="I733">
        <v>2.4700000000000002</v>
      </c>
      <c r="J733" s="1">
        <v>1.9</v>
      </c>
      <c r="K733" t="str">
        <f t="shared" si="35"/>
        <v>1-2 hours</v>
      </c>
      <c r="L733" t="s">
        <v>16</v>
      </c>
      <c r="M733">
        <v>4</v>
      </c>
      <c r="N733">
        <v>2</v>
      </c>
      <c r="O733">
        <v>4</v>
      </c>
      <c r="P733">
        <v>0</v>
      </c>
    </row>
    <row r="734" spans="1:16" x14ac:dyDescent="0.25">
      <c r="A734">
        <v>19</v>
      </c>
      <c r="B734" t="s">
        <v>14</v>
      </c>
      <c r="C734">
        <v>7.9</v>
      </c>
      <c r="D734" t="str">
        <f t="shared" si="33"/>
        <v>High</v>
      </c>
      <c r="E734" t="s">
        <v>12</v>
      </c>
      <c r="F734" s="1">
        <v>5.7</v>
      </c>
      <c r="G734" t="str">
        <f t="shared" si="34"/>
        <v>Low</v>
      </c>
      <c r="H734">
        <v>2.4</v>
      </c>
      <c r="I734">
        <v>3.59</v>
      </c>
      <c r="J734" s="1">
        <v>1.9</v>
      </c>
      <c r="K734" t="str">
        <f t="shared" si="35"/>
        <v>1-2 hours</v>
      </c>
      <c r="L734" t="s">
        <v>16</v>
      </c>
      <c r="M734">
        <v>1</v>
      </c>
      <c r="N734">
        <v>9</v>
      </c>
      <c r="O734">
        <v>9</v>
      </c>
      <c r="P734">
        <v>0</v>
      </c>
    </row>
    <row r="735" spans="1:16" x14ac:dyDescent="0.25">
      <c r="A735">
        <v>14</v>
      </c>
      <c r="B735" t="s">
        <v>11</v>
      </c>
      <c r="C735">
        <v>6.2</v>
      </c>
      <c r="D735" t="str">
        <f t="shared" si="33"/>
        <v>Medium</v>
      </c>
      <c r="E735" t="s">
        <v>15</v>
      </c>
      <c r="F735" s="1">
        <v>4.4000000000000004</v>
      </c>
      <c r="G735" t="str">
        <f t="shared" si="34"/>
        <v>Low</v>
      </c>
      <c r="H735">
        <v>0.7</v>
      </c>
      <c r="I735">
        <v>3.45</v>
      </c>
      <c r="J735" s="1">
        <v>0.5</v>
      </c>
      <c r="K735" t="str">
        <f t="shared" si="35"/>
        <v>0-1 hours</v>
      </c>
      <c r="L735" t="s">
        <v>17</v>
      </c>
      <c r="M735">
        <v>9</v>
      </c>
      <c r="N735">
        <v>10</v>
      </c>
      <c r="O735">
        <v>3</v>
      </c>
      <c r="P735">
        <v>1</v>
      </c>
    </row>
    <row r="736" spans="1:16" x14ac:dyDescent="0.25">
      <c r="A736">
        <v>16</v>
      </c>
      <c r="B736" t="s">
        <v>14</v>
      </c>
      <c r="C736">
        <v>2.5</v>
      </c>
      <c r="D736" t="str">
        <f t="shared" si="33"/>
        <v>Medium</v>
      </c>
      <c r="E736" t="s">
        <v>12</v>
      </c>
      <c r="F736" s="1">
        <v>5.4</v>
      </c>
      <c r="G736" t="str">
        <f t="shared" si="34"/>
        <v>Low</v>
      </c>
      <c r="H736">
        <v>2.2999999999999998</v>
      </c>
      <c r="I736">
        <v>3.43</v>
      </c>
      <c r="J736" s="1">
        <v>0.5</v>
      </c>
      <c r="K736" t="str">
        <f t="shared" si="35"/>
        <v>0-1 hours</v>
      </c>
      <c r="L736" t="s">
        <v>16</v>
      </c>
      <c r="M736">
        <v>9</v>
      </c>
      <c r="N736">
        <v>1</v>
      </c>
      <c r="O736">
        <v>2</v>
      </c>
      <c r="P736">
        <v>0</v>
      </c>
    </row>
    <row r="737" spans="1:16" x14ac:dyDescent="0.25">
      <c r="A737">
        <v>16</v>
      </c>
      <c r="B737" t="s">
        <v>11</v>
      </c>
      <c r="C737">
        <v>4.7</v>
      </c>
      <c r="D737" t="str">
        <f t="shared" si="33"/>
        <v>Medium</v>
      </c>
      <c r="E737" t="s">
        <v>18</v>
      </c>
      <c r="F737" s="1">
        <v>8.1999999999999993</v>
      </c>
      <c r="G737" t="str">
        <f t="shared" si="34"/>
        <v>Normal</v>
      </c>
      <c r="H737">
        <v>2.6</v>
      </c>
      <c r="I737">
        <v>3.05</v>
      </c>
      <c r="J737" s="1">
        <v>1</v>
      </c>
      <c r="K737" t="str">
        <f t="shared" si="35"/>
        <v>0-1 hours</v>
      </c>
      <c r="L737" t="s">
        <v>17</v>
      </c>
      <c r="M737">
        <v>4</v>
      </c>
      <c r="N737">
        <v>7</v>
      </c>
      <c r="O737">
        <v>2</v>
      </c>
      <c r="P737">
        <v>0</v>
      </c>
    </row>
    <row r="738" spans="1:16" x14ac:dyDescent="0.25">
      <c r="A738">
        <v>16</v>
      </c>
      <c r="B738" t="s">
        <v>11</v>
      </c>
      <c r="C738">
        <v>6.3</v>
      </c>
      <c r="D738" t="str">
        <f t="shared" si="33"/>
        <v>Medium</v>
      </c>
      <c r="E738" t="s">
        <v>12</v>
      </c>
      <c r="F738" s="1">
        <v>6.5</v>
      </c>
      <c r="G738" t="str">
        <f t="shared" si="34"/>
        <v>Low</v>
      </c>
      <c r="H738">
        <v>1</v>
      </c>
      <c r="I738">
        <v>2.52</v>
      </c>
      <c r="J738" s="1">
        <v>0.4</v>
      </c>
      <c r="K738" t="str">
        <f t="shared" si="35"/>
        <v>0-1 hours</v>
      </c>
      <c r="L738" t="s">
        <v>13</v>
      </c>
      <c r="M738">
        <v>1</v>
      </c>
      <c r="N738">
        <v>10</v>
      </c>
      <c r="O738">
        <v>6</v>
      </c>
      <c r="P738">
        <v>0</v>
      </c>
    </row>
    <row r="739" spans="1:16" x14ac:dyDescent="0.25">
      <c r="A739">
        <v>17</v>
      </c>
      <c r="B739" t="s">
        <v>14</v>
      </c>
      <c r="C739">
        <v>7.5</v>
      </c>
      <c r="D739" t="str">
        <f t="shared" si="33"/>
        <v>High</v>
      </c>
      <c r="E739" t="s">
        <v>15</v>
      </c>
      <c r="F739" s="1">
        <v>5.4</v>
      </c>
      <c r="G739" t="str">
        <f t="shared" si="34"/>
        <v>Low</v>
      </c>
      <c r="H739">
        <v>2.2999999999999998</v>
      </c>
      <c r="I739">
        <v>3.44</v>
      </c>
      <c r="J739" s="1">
        <v>0.4</v>
      </c>
      <c r="K739" t="str">
        <f t="shared" si="35"/>
        <v>0-1 hours</v>
      </c>
      <c r="L739" t="s">
        <v>17</v>
      </c>
      <c r="M739">
        <v>7</v>
      </c>
      <c r="N739">
        <v>9</v>
      </c>
      <c r="O739">
        <v>7</v>
      </c>
      <c r="P739">
        <v>1</v>
      </c>
    </row>
    <row r="740" spans="1:16" x14ac:dyDescent="0.25">
      <c r="A740">
        <v>18</v>
      </c>
      <c r="B740" t="s">
        <v>11</v>
      </c>
      <c r="C740">
        <v>2</v>
      </c>
      <c r="D740" t="str">
        <f t="shared" si="33"/>
        <v>Medium</v>
      </c>
      <c r="E740" t="s">
        <v>15</v>
      </c>
      <c r="F740" s="1">
        <v>8.4</v>
      </c>
      <c r="G740" t="str">
        <f t="shared" si="34"/>
        <v>Normal</v>
      </c>
      <c r="H740">
        <v>1.5</v>
      </c>
      <c r="I740">
        <v>2.83</v>
      </c>
      <c r="J740" s="1">
        <v>1.2</v>
      </c>
      <c r="K740" t="str">
        <f t="shared" si="35"/>
        <v>1-2 hours</v>
      </c>
      <c r="L740" t="s">
        <v>13</v>
      </c>
      <c r="M740">
        <v>9</v>
      </c>
      <c r="N740">
        <v>4</v>
      </c>
      <c r="O740">
        <v>5</v>
      </c>
      <c r="P740">
        <v>0</v>
      </c>
    </row>
    <row r="741" spans="1:16" x14ac:dyDescent="0.25">
      <c r="A741">
        <v>13</v>
      </c>
      <c r="B741" t="s">
        <v>14</v>
      </c>
      <c r="C741">
        <v>6.3</v>
      </c>
      <c r="D741" t="str">
        <f t="shared" si="33"/>
        <v>Medium</v>
      </c>
      <c r="E741" t="s">
        <v>12</v>
      </c>
      <c r="F741" s="1">
        <v>8.4</v>
      </c>
      <c r="G741" t="str">
        <f t="shared" si="34"/>
        <v>Normal</v>
      </c>
      <c r="H741">
        <v>1.6</v>
      </c>
      <c r="I741">
        <v>2.0299999999999998</v>
      </c>
      <c r="J741" s="1">
        <v>1.5</v>
      </c>
      <c r="K741" t="str">
        <f t="shared" si="35"/>
        <v>1-2 hours</v>
      </c>
      <c r="L741" t="s">
        <v>17</v>
      </c>
      <c r="M741">
        <v>5</v>
      </c>
      <c r="N741">
        <v>3</v>
      </c>
      <c r="O741">
        <v>9</v>
      </c>
      <c r="P741">
        <v>0</v>
      </c>
    </row>
    <row r="742" spans="1:16" x14ac:dyDescent="0.25">
      <c r="A742">
        <v>16</v>
      </c>
      <c r="B742" t="s">
        <v>11</v>
      </c>
      <c r="C742">
        <v>6.6</v>
      </c>
      <c r="D742" t="str">
        <f t="shared" si="33"/>
        <v>Medium</v>
      </c>
      <c r="E742" t="s">
        <v>18</v>
      </c>
      <c r="F742" s="1">
        <v>8.9</v>
      </c>
      <c r="G742" t="str">
        <f t="shared" si="34"/>
        <v>Normal</v>
      </c>
      <c r="H742">
        <v>2</v>
      </c>
      <c r="I742">
        <v>3.44</v>
      </c>
      <c r="J742" s="1">
        <v>1.7</v>
      </c>
      <c r="K742" t="str">
        <f t="shared" si="35"/>
        <v>1-2 hours</v>
      </c>
      <c r="L742" t="s">
        <v>13</v>
      </c>
      <c r="M742">
        <v>10</v>
      </c>
      <c r="N742">
        <v>9</v>
      </c>
      <c r="O742">
        <v>3</v>
      </c>
      <c r="P742">
        <v>0</v>
      </c>
    </row>
    <row r="743" spans="1:16" x14ac:dyDescent="0.25">
      <c r="A743">
        <v>19</v>
      </c>
      <c r="B743" t="s">
        <v>14</v>
      </c>
      <c r="C743">
        <v>3.6</v>
      </c>
      <c r="D743" t="str">
        <f t="shared" si="33"/>
        <v>Medium</v>
      </c>
      <c r="E743" t="s">
        <v>18</v>
      </c>
      <c r="F743" s="1">
        <v>5.6</v>
      </c>
      <c r="G743" t="str">
        <f t="shared" si="34"/>
        <v>Low</v>
      </c>
      <c r="H743">
        <v>1.7</v>
      </c>
      <c r="I743">
        <v>3.57</v>
      </c>
      <c r="J743" s="1">
        <v>1.5</v>
      </c>
      <c r="K743" t="str">
        <f t="shared" si="35"/>
        <v>1-2 hours</v>
      </c>
      <c r="L743" t="s">
        <v>13</v>
      </c>
      <c r="M743">
        <v>10</v>
      </c>
      <c r="N743">
        <v>4</v>
      </c>
      <c r="O743">
        <v>3</v>
      </c>
      <c r="P743">
        <v>0</v>
      </c>
    </row>
    <row r="744" spans="1:16" x14ac:dyDescent="0.25">
      <c r="A744">
        <v>16</v>
      </c>
      <c r="B744" t="s">
        <v>14</v>
      </c>
      <c r="C744">
        <v>3.2</v>
      </c>
      <c r="D744" t="str">
        <f t="shared" si="33"/>
        <v>Medium</v>
      </c>
      <c r="E744" t="s">
        <v>18</v>
      </c>
      <c r="F744" s="1">
        <v>4.5999999999999996</v>
      </c>
      <c r="G744" t="str">
        <f t="shared" si="34"/>
        <v>Low</v>
      </c>
      <c r="H744">
        <v>2.5</v>
      </c>
      <c r="I744">
        <v>2.62</v>
      </c>
      <c r="J744" s="1">
        <v>1.8</v>
      </c>
      <c r="K744" t="str">
        <f t="shared" si="35"/>
        <v>1-2 hours</v>
      </c>
      <c r="L744" t="s">
        <v>13</v>
      </c>
      <c r="M744">
        <v>9</v>
      </c>
      <c r="N744">
        <v>5</v>
      </c>
      <c r="O744">
        <v>1</v>
      </c>
      <c r="P744">
        <v>0</v>
      </c>
    </row>
    <row r="745" spans="1:16" x14ac:dyDescent="0.25">
      <c r="A745">
        <v>13</v>
      </c>
      <c r="B745" t="s">
        <v>14</v>
      </c>
      <c r="C745">
        <v>3.1</v>
      </c>
      <c r="D745" t="str">
        <f t="shared" si="33"/>
        <v>Medium</v>
      </c>
      <c r="E745" t="s">
        <v>12</v>
      </c>
      <c r="F745" s="1">
        <v>6.4</v>
      </c>
      <c r="G745" t="str">
        <f t="shared" si="34"/>
        <v>Low</v>
      </c>
      <c r="H745">
        <v>1.6</v>
      </c>
      <c r="I745">
        <v>3.69</v>
      </c>
      <c r="J745" s="1">
        <v>0.9</v>
      </c>
      <c r="K745" t="str">
        <f t="shared" si="35"/>
        <v>0-1 hours</v>
      </c>
      <c r="L745" t="s">
        <v>17</v>
      </c>
      <c r="M745">
        <v>1</v>
      </c>
      <c r="N745">
        <v>2</v>
      </c>
      <c r="O745">
        <v>1</v>
      </c>
      <c r="P745">
        <v>0</v>
      </c>
    </row>
    <row r="746" spans="1:16" x14ac:dyDescent="0.25">
      <c r="A746">
        <v>18</v>
      </c>
      <c r="B746" t="s">
        <v>11</v>
      </c>
      <c r="C746">
        <v>6.7</v>
      </c>
      <c r="D746" t="str">
        <f t="shared" si="33"/>
        <v>Medium</v>
      </c>
      <c r="E746" t="s">
        <v>12</v>
      </c>
      <c r="F746" s="1">
        <v>8.8000000000000007</v>
      </c>
      <c r="G746" t="str">
        <f t="shared" si="34"/>
        <v>Normal</v>
      </c>
      <c r="H746">
        <v>1.9</v>
      </c>
      <c r="I746">
        <v>2.5499999999999998</v>
      </c>
      <c r="J746" s="1">
        <v>1</v>
      </c>
      <c r="K746" t="str">
        <f t="shared" si="35"/>
        <v>0-1 hours</v>
      </c>
      <c r="L746" t="s">
        <v>13</v>
      </c>
      <c r="M746">
        <v>5</v>
      </c>
      <c r="N746">
        <v>8</v>
      </c>
      <c r="O746">
        <v>3</v>
      </c>
      <c r="P746">
        <v>0</v>
      </c>
    </row>
    <row r="747" spans="1:16" x14ac:dyDescent="0.25">
      <c r="A747">
        <v>17</v>
      </c>
      <c r="B747" t="s">
        <v>11</v>
      </c>
      <c r="C747">
        <v>6.6</v>
      </c>
      <c r="D747" t="str">
        <f t="shared" si="33"/>
        <v>Medium</v>
      </c>
      <c r="E747" t="s">
        <v>15</v>
      </c>
      <c r="F747" s="1">
        <v>8.1999999999999993</v>
      </c>
      <c r="G747" t="str">
        <f t="shared" si="34"/>
        <v>Normal</v>
      </c>
      <c r="H747">
        <v>0.7</v>
      </c>
      <c r="I747">
        <v>2.88</v>
      </c>
      <c r="J747" s="1">
        <v>0.8</v>
      </c>
      <c r="K747" t="str">
        <f t="shared" si="35"/>
        <v>0-1 hours</v>
      </c>
      <c r="L747" t="s">
        <v>13</v>
      </c>
      <c r="M747">
        <v>1</v>
      </c>
      <c r="N747">
        <v>7</v>
      </c>
      <c r="O747">
        <v>7</v>
      </c>
      <c r="P747">
        <v>0</v>
      </c>
    </row>
    <row r="748" spans="1:16" x14ac:dyDescent="0.25">
      <c r="A748">
        <v>14</v>
      </c>
      <c r="B748" t="s">
        <v>14</v>
      </c>
      <c r="C748">
        <v>7</v>
      </c>
      <c r="D748" t="str">
        <f t="shared" si="33"/>
        <v>High</v>
      </c>
      <c r="E748" t="s">
        <v>12</v>
      </c>
      <c r="F748" s="1">
        <v>4.5</v>
      </c>
      <c r="G748" t="str">
        <f t="shared" si="34"/>
        <v>Low</v>
      </c>
      <c r="H748">
        <v>1.6</v>
      </c>
      <c r="I748">
        <v>2.83</v>
      </c>
      <c r="J748" s="1">
        <v>0.4</v>
      </c>
      <c r="K748" t="str">
        <f t="shared" si="35"/>
        <v>0-1 hours</v>
      </c>
      <c r="L748" t="s">
        <v>17</v>
      </c>
      <c r="M748">
        <v>8</v>
      </c>
      <c r="N748">
        <v>1</v>
      </c>
      <c r="O748">
        <v>7</v>
      </c>
      <c r="P748">
        <v>0</v>
      </c>
    </row>
    <row r="749" spans="1:16" x14ac:dyDescent="0.25">
      <c r="A749">
        <v>16</v>
      </c>
      <c r="B749" t="s">
        <v>14</v>
      </c>
      <c r="C749">
        <v>4.8</v>
      </c>
      <c r="D749" t="str">
        <f t="shared" si="33"/>
        <v>Medium</v>
      </c>
      <c r="E749" t="s">
        <v>18</v>
      </c>
      <c r="F749" s="1">
        <v>5.0999999999999996</v>
      </c>
      <c r="G749" t="str">
        <f t="shared" si="34"/>
        <v>Low</v>
      </c>
      <c r="H749">
        <v>2.1</v>
      </c>
      <c r="I749">
        <v>2.4900000000000002</v>
      </c>
      <c r="J749" s="1">
        <v>1.6</v>
      </c>
      <c r="K749" t="str">
        <f t="shared" si="35"/>
        <v>1-2 hours</v>
      </c>
      <c r="L749" t="s">
        <v>13</v>
      </c>
      <c r="M749">
        <v>4</v>
      </c>
      <c r="N749">
        <v>9</v>
      </c>
      <c r="O749">
        <v>1</v>
      </c>
      <c r="P749">
        <v>0</v>
      </c>
    </row>
    <row r="750" spans="1:16" x14ac:dyDescent="0.25">
      <c r="A750">
        <v>13</v>
      </c>
      <c r="B750" t="s">
        <v>14</v>
      </c>
      <c r="C750">
        <v>5.8</v>
      </c>
      <c r="D750" t="str">
        <f t="shared" si="33"/>
        <v>Medium</v>
      </c>
      <c r="E750" t="s">
        <v>12</v>
      </c>
      <c r="F750" s="1">
        <v>6.3</v>
      </c>
      <c r="G750" t="str">
        <f t="shared" si="34"/>
        <v>Low</v>
      </c>
      <c r="H750">
        <v>1.1000000000000001</v>
      </c>
      <c r="I750">
        <v>3.09</v>
      </c>
      <c r="J750" s="1">
        <v>0.9</v>
      </c>
      <c r="K750" t="str">
        <f t="shared" si="35"/>
        <v>0-1 hours</v>
      </c>
      <c r="L750" t="s">
        <v>17</v>
      </c>
      <c r="M750">
        <v>8</v>
      </c>
      <c r="N750">
        <v>4</v>
      </c>
      <c r="O750">
        <v>9</v>
      </c>
      <c r="P750">
        <v>0</v>
      </c>
    </row>
    <row r="751" spans="1:16" x14ac:dyDescent="0.25">
      <c r="A751">
        <v>19</v>
      </c>
      <c r="B751" t="s">
        <v>14</v>
      </c>
      <c r="C751">
        <v>6</v>
      </c>
      <c r="D751" t="str">
        <f t="shared" si="33"/>
        <v>Medium</v>
      </c>
      <c r="E751" t="s">
        <v>18</v>
      </c>
      <c r="F751" s="1">
        <v>6.3</v>
      </c>
      <c r="G751" t="str">
        <f t="shared" si="34"/>
        <v>Low</v>
      </c>
      <c r="H751">
        <v>2.8</v>
      </c>
      <c r="I751">
        <v>3.98</v>
      </c>
      <c r="J751" s="1">
        <v>2</v>
      </c>
      <c r="K751" t="str">
        <f t="shared" si="35"/>
        <v>1-2 hours</v>
      </c>
      <c r="L751" t="s">
        <v>17</v>
      </c>
      <c r="M751">
        <v>2</v>
      </c>
      <c r="N751">
        <v>6</v>
      </c>
      <c r="O751">
        <v>2</v>
      </c>
      <c r="P751">
        <v>0</v>
      </c>
    </row>
    <row r="752" spans="1:16" x14ac:dyDescent="0.25">
      <c r="A752">
        <v>15</v>
      </c>
      <c r="B752" t="s">
        <v>11</v>
      </c>
      <c r="C752">
        <v>4</v>
      </c>
      <c r="D752" t="str">
        <f t="shared" si="33"/>
        <v>Medium</v>
      </c>
      <c r="E752" t="s">
        <v>18</v>
      </c>
      <c r="F752" s="1">
        <v>5.2</v>
      </c>
      <c r="G752" t="str">
        <f t="shared" si="34"/>
        <v>Low</v>
      </c>
      <c r="H752">
        <v>1.8</v>
      </c>
      <c r="I752">
        <v>3.3</v>
      </c>
      <c r="J752" s="1">
        <v>0.7</v>
      </c>
      <c r="K752" t="str">
        <f t="shared" si="35"/>
        <v>0-1 hours</v>
      </c>
      <c r="L752" t="s">
        <v>17</v>
      </c>
      <c r="M752">
        <v>10</v>
      </c>
      <c r="N752">
        <v>5</v>
      </c>
      <c r="O752">
        <v>1</v>
      </c>
      <c r="P752">
        <v>0</v>
      </c>
    </row>
    <row r="753" spans="1:16" x14ac:dyDescent="0.25">
      <c r="A753">
        <v>14</v>
      </c>
      <c r="B753" t="s">
        <v>14</v>
      </c>
      <c r="C753">
        <v>5.8</v>
      </c>
      <c r="D753" t="str">
        <f t="shared" si="33"/>
        <v>Medium</v>
      </c>
      <c r="E753" t="s">
        <v>18</v>
      </c>
      <c r="F753" s="1">
        <v>4.8</v>
      </c>
      <c r="G753" t="str">
        <f t="shared" si="34"/>
        <v>Low</v>
      </c>
      <c r="H753">
        <v>2.6</v>
      </c>
      <c r="I753">
        <v>2.08</v>
      </c>
      <c r="J753" s="1">
        <v>0.8</v>
      </c>
      <c r="K753" t="str">
        <f t="shared" si="35"/>
        <v>0-1 hours</v>
      </c>
      <c r="L753" t="s">
        <v>17</v>
      </c>
      <c r="M753">
        <v>6</v>
      </c>
      <c r="N753">
        <v>4</v>
      </c>
      <c r="O753">
        <v>9</v>
      </c>
      <c r="P753">
        <v>0</v>
      </c>
    </row>
    <row r="754" spans="1:16" x14ac:dyDescent="0.25">
      <c r="A754">
        <v>19</v>
      </c>
      <c r="B754" t="s">
        <v>11</v>
      </c>
      <c r="C754">
        <v>5.2</v>
      </c>
      <c r="D754" t="str">
        <f t="shared" si="33"/>
        <v>Medium</v>
      </c>
      <c r="E754" t="s">
        <v>12</v>
      </c>
      <c r="F754" s="1">
        <v>7.6</v>
      </c>
      <c r="G754" t="str">
        <f t="shared" si="34"/>
        <v>Low</v>
      </c>
      <c r="H754">
        <v>1.3</v>
      </c>
      <c r="I754">
        <v>3.89</v>
      </c>
      <c r="J754" s="1">
        <v>1.5</v>
      </c>
      <c r="K754" t="str">
        <f t="shared" si="35"/>
        <v>1-2 hours</v>
      </c>
      <c r="L754" t="s">
        <v>16</v>
      </c>
      <c r="M754">
        <v>4</v>
      </c>
      <c r="N754">
        <v>5</v>
      </c>
      <c r="O754">
        <v>8</v>
      </c>
      <c r="P754">
        <v>0</v>
      </c>
    </row>
    <row r="755" spans="1:16" x14ac:dyDescent="0.25">
      <c r="A755">
        <v>17</v>
      </c>
      <c r="B755" t="s">
        <v>11</v>
      </c>
      <c r="C755">
        <v>2.9</v>
      </c>
      <c r="D755" t="str">
        <f t="shared" si="33"/>
        <v>Medium</v>
      </c>
      <c r="E755" t="s">
        <v>18</v>
      </c>
      <c r="F755" s="1">
        <v>6.7</v>
      </c>
      <c r="G755" t="str">
        <f t="shared" si="34"/>
        <v>Low</v>
      </c>
      <c r="H755">
        <v>1.5</v>
      </c>
      <c r="I755">
        <v>3.62</v>
      </c>
      <c r="J755" s="1">
        <v>0.8</v>
      </c>
      <c r="K755" t="str">
        <f t="shared" si="35"/>
        <v>0-1 hours</v>
      </c>
      <c r="L755" t="s">
        <v>17</v>
      </c>
      <c r="M755">
        <v>10</v>
      </c>
      <c r="N755">
        <v>6</v>
      </c>
      <c r="O755">
        <v>4</v>
      </c>
      <c r="P755">
        <v>0</v>
      </c>
    </row>
    <row r="756" spans="1:16" x14ac:dyDescent="0.25">
      <c r="A756">
        <v>18</v>
      </c>
      <c r="B756" t="s">
        <v>14</v>
      </c>
      <c r="C756">
        <v>7.5</v>
      </c>
      <c r="D756" t="str">
        <f t="shared" si="33"/>
        <v>High</v>
      </c>
      <c r="E756" t="s">
        <v>15</v>
      </c>
      <c r="F756" s="1">
        <v>7.5</v>
      </c>
      <c r="G756" t="str">
        <f t="shared" si="34"/>
        <v>Low</v>
      </c>
      <c r="H756">
        <v>1.4</v>
      </c>
      <c r="I756">
        <v>3.14</v>
      </c>
      <c r="J756" s="1">
        <v>2</v>
      </c>
      <c r="K756" t="str">
        <f t="shared" si="35"/>
        <v>1-2 hours</v>
      </c>
      <c r="L756" t="s">
        <v>13</v>
      </c>
      <c r="M756">
        <v>2</v>
      </c>
      <c r="N756">
        <v>9</v>
      </c>
      <c r="O756">
        <v>2</v>
      </c>
      <c r="P756">
        <v>0</v>
      </c>
    </row>
    <row r="757" spans="1:16" x14ac:dyDescent="0.25">
      <c r="A757">
        <v>13</v>
      </c>
      <c r="B757" t="s">
        <v>14</v>
      </c>
      <c r="C757">
        <v>5.8</v>
      </c>
      <c r="D757" t="str">
        <f t="shared" si="33"/>
        <v>Medium</v>
      </c>
      <c r="E757" t="s">
        <v>12</v>
      </c>
      <c r="F757" s="1">
        <v>6.1</v>
      </c>
      <c r="G757" t="str">
        <f t="shared" si="34"/>
        <v>Low</v>
      </c>
      <c r="H757">
        <v>1.2</v>
      </c>
      <c r="I757">
        <v>3.81</v>
      </c>
      <c r="J757" s="1">
        <v>1.8</v>
      </c>
      <c r="K757" t="str">
        <f t="shared" si="35"/>
        <v>1-2 hours</v>
      </c>
      <c r="L757" t="s">
        <v>17</v>
      </c>
      <c r="M757">
        <v>6</v>
      </c>
      <c r="N757">
        <v>10</v>
      </c>
      <c r="O757">
        <v>6</v>
      </c>
      <c r="P757">
        <v>0</v>
      </c>
    </row>
    <row r="758" spans="1:16" x14ac:dyDescent="0.25">
      <c r="A758">
        <v>14</v>
      </c>
      <c r="B758" t="s">
        <v>11</v>
      </c>
      <c r="C758">
        <v>7.6</v>
      </c>
      <c r="D758" t="str">
        <f t="shared" si="33"/>
        <v>High</v>
      </c>
      <c r="E758" t="s">
        <v>12</v>
      </c>
      <c r="F758" s="1">
        <v>5.8</v>
      </c>
      <c r="G758" t="str">
        <f t="shared" si="34"/>
        <v>Low</v>
      </c>
      <c r="H758">
        <v>1.9</v>
      </c>
      <c r="I758">
        <v>3.49</v>
      </c>
      <c r="J758" s="1">
        <v>1.7</v>
      </c>
      <c r="K758" t="str">
        <f t="shared" si="35"/>
        <v>1-2 hours</v>
      </c>
      <c r="L758" t="s">
        <v>16</v>
      </c>
      <c r="M758">
        <v>10</v>
      </c>
      <c r="N758">
        <v>1</v>
      </c>
      <c r="O758">
        <v>3</v>
      </c>
      <c r="P758">
        <v>0</v>
      </c>
    </row>
    <row r="759" spans="1:16" x14ac:dyDescent="0.25">
      <c r="A759">
        <v>15</v>
      </c>
      <c r="B759" t="s">
        <v>14</v>
      </c>
      <c r="C759">
        <v>1.3</v>
      </c>
      <c r="D759" t="str">
        <f t="shared" si="33"/>
        <v>Low</v>
      </c>
      <c r="E759" t="s">
        <v>15</v>
      </c>
      <c r="F759" s="1">
        <v>7.6</v>
      </c>
      <c r="G759" t="str">
        <f t="shared" si="34"/>
        <v>Low</v>
      </c>
      <c r="H759">
        <v>0.6</v>
      </c>
      <c r="I759">
        <v>3.46</v>
      </c>
      <c r="J759" s="1">
        <v>1.9</v>
      </c>
      <c r="K759" t="str">
        <f t="shared" si="35"/>
        <v>1-2 hours</v>
      </c>
      <c r="L759" t="s">
        <v>13</v>
      </c>
      <c r="M759">
        <v>1</v>
      </c>
      <c r="N759">
        <v>1</v>
      </c>
      <c r="O759">
        <v>4</v>
      </c>
      <c r="P759">
        <v>0</v>
      </c>
    </row>
    <row r="760" spans="1:16" x14ac:dyDescent="0.25">
      <c r="A760">
        <v>15</v>
      </c>
      <c r="B760" t="s">
        <v>11</v>
      </c>
      <c r="C760">
        <v>3.7</v>
      </c>
      <c r="D760" t="str">
        <f t="shared" si="33"/>
        <v>Medium</v>
      </c>
      <c r="E760" t="s">
        <v>18</v>
      </c>
      <c r="F760" s="1">
        <v>5.7</v>
      </c>
      <c r="G760" t="str">
        <f t="shared" si="34"/>
        <v>Low</v>
      </c>
      <c r="H760">
        <v>1.3</v>
      </c>
      <c r="I760">
        <v>3.24</v>
      </c>
      <c r="J760" s="1">
        <v>0.2</v>
      </c>
      <c r="K760" t="str">
        <f t="shared" si="35"/>
        <v>0-1 hours</v>
      </c>
      <c r="L760" t="s">
        <v>13</v>
      </c>
      <c r="M760">
        <v>4</v>
      </c>
      <c r="N760">
        <v>9</v>
      </c>
      <c r="O760">
        <v>10</v>
      </c>
      <c r="P760">
        <v>0</v>
      </c>
    </row>
    <row r="761" spans="1:16" x14ac:dyDescent="0.25">
      <c r="A761">
        <v>18</v>
      </c>
      <c r="B761" t="s">
        <v>11</v>
      </c>
      <c r="C761">
        <v>3.6</v>
      </c>
      <c r="D761" t="str">
        <f t="shared" si="33"/>
        <v>Medium</v>
      </c>
      <c r="E761" t="s">
        <v>12</v>
      </c>
      <c r="F761" s="1">
        <v>4.7</v>
      </c>
      <c r="G761" t="str">
        <f t="shared" si="34"/>
        <v>Low</v>
      </c>
      <c r="H761">
        <v>2.5</v>
      </c>
      <c r="I761">
        <v>2.73</v>
      </c>
      <c r="J761" s="1">
        <v>1.2</v>
      </c>
      <c r="K761" t="str">
        <f t="shared" si="35"/>
        <v>1-2 hours</v>
      </c>
      <c r="L761" t="s">
        <v>17</v>
      </c>
      <c r="M761">
        <v>9</v>
      </c>
      <c r="N761">
        <v>7</v>
      </c>
      <c r="O761">
        <v>6</v>
      </c>
      <c r="P761">
        <v>0</v>
      </c>
    </row>
    <row r="762" spans="1:16" x14ac:dyDescent="0.25">
      <c r="A762">
        <v>15</v>
      </c>
      <c r="B762" t="s">
        <v>11</v>
      </c>
      <c r="C762">
        <v>6.4</v>
      </c>
      <c r="D762" t="str">
        <f t="shared" si="33"/>
        <v>Medium</v>
      </c>
      <c r="E762" t="s">
        <v>15</v>
      </c>
      <c r="F762" s="1">
        <v>6.9</v>
      </c>
      <c r="G762" t="str">
        <f t="shared" si="34"/>
        <v>Low</v>
      </c>
      <c r="H762">
        <v>2.9</v>
      </c>
      <c r="I762">
        <v>2.48</v>
      </c>
      <c r="J762" s="1">
        <v>0.9</v>
      </c>
      <c r="K762" t="str">
        <f t="shared" si="35"/>
        <v>0-1 hours</v>
      </c>
      <c r="L762" t="s">
        <v>13</v>
      </c>
      <c r="M762">
        <v>8</v>
      </c>
      <c r="N762">
        <v>4</v>
      </c>
      <c r="O762">
        <v>8</v>
      </c>
      <c r="P762">
        <v>0</v>
      </c>
    </row>
    <row r="763" spans="1:16" x14ac:dyDescent="0.25">
      <c r="A763">
        <v>13</v>
      </c>
      <c r="B763" t="s">
        <v>11</v>
      </c>
      <c r="C763">
        <v>6</v>
      </c>
      <c r="D763" t="str">
        <f t="shared" si="33"/>
        <v>Medium</v>
      </c>
      <c r="E763" t="s">
        <v>15</v>
      </c>
      <c r="F763" s="1">
        <v>4.8</v>
      </c>
      <c r="G763" t="str">
        <f t="shared" si="34"/>
        <v>Low</v>
      </c>
      <c r="H763">
        <v>2.6</v>
      </c>
      <c r="I763">
        <v>2.74</v>
      </c>
      <c r="J763" s="1">
        <v>1.6</v>
      </c>
      <c r="K763" t="str">
        <f t="shared" si="35"/>
        <v>1-2 hours</v>
      </c>
      <c r="L763" t="s">
        <v>16</v>
      </c>
      <c r="M763">
        <v>6</v>
      </c>
      <c r="N763">
        <v>10</v>
      </c>
      <c r="O763">
        <v>8</v>
      </c>
      <c r="P763">
        <v>0</v>
      </c>
    </row>
    <row r="764" spans="1:16" x14ac:dyDescent="0.25">
      <c r="A764">
        <v>14</v>
      </c>
      <c r="B764" t="s">
        <v>14</v>
      </c>
      <c r="C764">
        <v>1.3</v>
      </c>
      <c r="D764" t="str">
        <f t="shared" si="33"/>
        <v>Low</v>
      </c>
      <c r="E764" t="s">
        <v>15</v>
      </c>
      <c r="F764" s="1">
        <v>7.7</v>
      </c>
      <c r="G764" t="str">
        <f t="shared" si="34"/>
        <v>Low</v>
      </c>
      <c r="H764">
        <v>1.9</v>
      </c>
      <c r="I764">
        <v>2.27</v>
      </c>
      <c r="J764" s="1">
        <v>1.5</v>
      </c>
      <c r="K764" t="str">
        <f t="shared" si="35"/>
        <v>1-2 hours</v>
      </c>
      <c r="L764" t="s">
        <v>13</v>
      </c>
      <c r="M764">
        <v>7</v>
      </c>
      <c r="N764">
        <v>2</v>
      </c>
      <c r="O764">
        <v>2</v>
      </c>
      <c r="P764">
        <v>0</v>
      </c>
    </row>
    <row r="765" spans="1:16" x14ac:dyDescent="0.25">
      <c r="A765">
        <v>18</v>
      </c>
      <c r="B765" t="s">
        <v>11</v>
      </c>
      <c r="C765">
        <v>3.7</v>
      </c>
      <c r="D765" t="str">
        <f t="shared" si="33"/>
        <v>Medium</v>
      </c>
      <c r="E765" t="s">
        <v>12</v>
      </c>
      <c r="F765" s="1">
        <v>7</v>
      </c>
      <c r="G765" t="str">
        <f t="shared" si="34"/>
        <v>Low</v>
      </c>
      <c r="H765">
        <v>1.4</v>
      </c>
      <c r="I765">
        <v>2.0499999999999998</v>
      </c>
      <c r="J765" s="1">
        <v>0.4</v>
      </c>
      <c r="K765" t="str">
        <f t="shared" si="35"/>
        <v>0-1 hours</v>
      </c>
      <c r="L765" t="s">
        <v>17</v>
      </c>
      <c r="M765">
        <v>10</v>
      </c>
      <c r="N765">
        <v>9</v>
      </c>
      <c r="O765">
        <v>5</v>
      </c>
      <c r="P765">
        <v>0</v>
      </c>
    </row>
    <row r="766" spans="1:16" x14ac:dyDescent="0.25">
      <c r="A766">
        <v>18</v>
      </c>
      <c r="B766" t="s">
        <v>14</v>
      </c>
      <c r="C766">
        <v>8</v>
      </c>
      <c r="D766" t="str">
        <f t="shared" si="33"/>
        <v>High</v>
      </c>
      <c r="E766" t="s">
        <v>15</v>
      </c>
      <c r="F766" s="1">
        <v>4.3</v>
      </c>
      <c r="G766" t="str">
        <f t="shared" si="34"/>
        <v>Low</v>
      </c>
      <c r="H766">
        <v>0.8</v>
      </c>
      <c r="I766">
        <v>3.44</v>
      </c>
      <c r="J766" s="1">
        <v>0.8</v>
      </c>
      <c r="K766" t="str">
        <f t="shared" si="35"/>
        <v>0-1 hours</v>
      </c>
      <c r="L766" t="s">
        <v>17</v>
      </c>
      <c r="M766">
        <v>3</v>
      </c>
      <c r="N766">
        <v>4</v>
      </c>
      <c r="O766">
        <v>4</v>
      </c>
      <c r="P766">
        <v>0</v>
      </c>
    </row>
    <row r="767" spans="1:16" x14ac:dyDescent="0.25">
      <c r="A767">
        <v>19</v>
      </c>
      <c r="B767" t="s">
        <v>14</v>
      </c>
      <c r="C767">
        <v>4.0999999999999996</v>
      </c>
      <c r="D767" t="str">
        <f t="shared" si="33"/>
        <v>Medium</v>
      </c>
      <c r="E767" t="s">
        <v>18</v>
      </c>
      <c r="F767" s="1">
        <v>7.5</v>
      </c>
      <c r="G767" t="str">
        <f t="shared" si="34"/>
        <v>Low</v>
      </c>
      <c r="H767">
        <v>2.7</v>
      </c>
      <c r="I767">
        <v>2.66</v>
      </c>
      <c r="J767" s="1">
        <v>1.6</v>
      </c>
      <c r="K767" t="str">
        <f t="shared" si="35"/>
        <v>1-2 hours</v>
      </c>
      <c r="L767" t="s">
        <v>16</v>
      </c>
      <c r="M767">
        <v>5</v>
      </c>
      <c r="N767">
        <v>10</v>
      </c>
      <c r="O767">
        <v>5</v>
      </c>
      <c r="P767">
        <v>0</v>
      </c>
    </row>
    <row r="768" spans="1:16" x14ac:dyDescent="0.25">
      <c r="A768">
        <v>13</v>
      </c>
      <c r="B768" t="s">
        <v>11</v>
      </c>
      <c r="C768">
        <v>3.9</v>
      </c>
      <c r="D768" t="str">
        <f t="shared" si="33"/>
        <v>Medium</v>
      </c>
      <c r="E768" t="s">
        <v>18</v>
      </c>
      <c r="F768" s="1">
        <v>8.6999999999999993</v>
      </c>
      <c r="G768" t="str">
        <f t="shared" si="34"/>
        <v>Normal</v>
      </c>
      <c r="H768">
        <v>1.5</v>
      </c>
      <c r="I768">
        <v>2.71</v>
      </c>
      <c r="J768" s="1">
        <v>0.7</v>
      </c>
      <c r="K768" t="str">
        <f t="shared" si="35"/>
        <v>0-1 hours</v>
      </c>
      <c r="L768" t="s">
        <v>13</v>
      </c>
      <c r="M768">
        <v>7</v>
      </c>
      <c r="N768">
        <v>1</v>
      </c>
      <c r="O768">
        <v>4</v>
      </c>
      <c r="P768">
        <v>0</v>
      </c>
    </row>
    <row r="769" spans="1:16" x14ac:dyDescent="0.25">
      <c r="A769">
        <v>15</v>
      </c>
      <c r="B769" t="s">
        <v>14</v>
      </c>
      <c r="C769">
        <v>6.4</v>
      </c>
      <c r="D769" t="str">
        <f t="shared" si="33"/>
        <v>Medium</v>
      </c>
      <c r="E769" t="s">
        <v>12</v>
      </c>
      <c r="F769" s="1">
        <v>5.9</v>
      </c>
      <c r="G769" t="str">
        <f t="shared" si="34"/>
        <v>Low</v>
      </c>
      <c r="H769">
        <v>1.6</v>
      </c>
      <c r="I769">
        <v>3.97</v>
      </c>
      <c r="J769" s="1">
        <v>1</v>
      </c>
      <c r="K769" t="str">
        <f t="shared" si="35"/>
        <v>0-1 hours</v>
      </c>
      <c r="L769" t="s">
        <v>16</v>
      </c>
      <c r="M769">
        <v>10</v>
      </c>
      <c r="N769">
        <v>2</v>
      </c>
      <c r="O769">
        <v>6</v>
      </c>
      <c r="P769">
        <v>0</v>
      </c>
    </row>
    <row r="770" spans="1:16" x14ac:dyDescent="0.25">
      <c r="A770">
        <v>19</v>
      </c>
      <c r="B770" t="s">
        <v>14</v>
      </c>
      <c r="C770">
        <v>1.3</v>
      </c>
      <c r="D770" t="str">
        <f t="shared" ref="D770:D833" si="36">IF(C770&lt;2,"Low",IF(C770&lt;7,"Medium","High"))</f>
        <v>Low</v>
      </c>
      <c r="E770" t="s">
        <v>15</v>
      </c>
      <c r="F770" s="1">
        <v>6.5</v>
      </c>
      <c r="G770" t="str">
        <f t="shared" ref="G770:G833" si="37">IF(F770&gt;=8,"Normal","Low")</f>
        <v>Low</v>
      </c>
      <c r="H770">
        <v>2.1</v>
      </c>
      <c r="I770">
        <v>3.68</v>
      </c>
      <c r="J770" s="1">
        <v>1.1000000000000001</v>
      </c>
      <c r="K770" t="str">
        <f t="shared" ref="K770:K833" si="38">IF(J770=0,"No activity",IF(J770&lt;=1,"0-1 hours","1-2 hours"))</f>
        <v>1-2 hours</v>
      </c>
      <c r="L770" t="s">
        <v>16</v>
      </c>
      <c r="M770">
        <v>7</v>
      </c>
      <c r="N770">
        <v>1</v>
      </c>
      <c r="O770">
        <v>9</v>
      </c>
      <c r="P770">
        <v>0</v>
      </c>
    </row>
    <row r="771" spans="1:16" x14ac:dyDescent="0.25">
      <c r="A771">
        <v>18</v>
      </c>
      <c r="B771" t="s">
        <v>14</v>
      </c>
      <c r="C771">
        <v>5</v>
      </c>
      <c r="D771" t="str">
        <f t="shared" si="36"/>
        <v>Medium</v>
      </c>
      <c r="E771" t="s">
        <v>12</v>
      </c>
      <c r="F771" s="1">
        <v>6.6</v>
      </c>
      <c r="G771" t="str">
        <f t="shared" si="37"/>
        <v>Low</v>
      </c>
      <c r="H771">
        <v>1.8</v>
      </c>
      <c r="I771">
        <v>3.87</v>
      </c>
      <c r="J771" s="1">
        <v>1.2</v>
      </c>
      <c r="K771" t="str">
        <f t="shared" si="38"/>
        <v>1-2 hours</v>
      </c>
      <c r="L771" t="s">
        <v>16</v>
      </c>
      <c r="M771">
        <v>3</v>
      </c>
      <c r="N771">
        <v>4</v>
      </c>
      <c r="O771">
        <v>2</v>
      </c>
      <c r="P771">
        <v>0</v>
      </c>
    </row>
    <row r="772" spans="1:16" x14ac:dyDescent="0.25">
      <c r="A772">
        <v>18</v>
      </c>
      <c r="B772" t="s">
        <v>11</v>
      </c>
      <c r="C772">
        <v>5.5</v>
      </c>
      <c r="D772" t="str">
        <f t="shared" si="36"/>
        <v>Medium</v>
      </c>
      <c r="E772" t="s">
        <v>18</v>
      </c>
      <c r="F772" s="1">
        <v>5.2</v>
      </c>
      <c r="G772" t="str">
        <f t="shared" si="37"/>
        <v>Low</v>
      </c>
      <c r="H772">
        <v>1.4</v>
      </c>
      <c r="I772">
        <v>3.24</v>
      </c>
      <c r="J772" s="1">
        <v>0.9</v>
      </c>
      <c r="K772" t="str">
        <f t="shared" si="38"/>
        <v>0-1 hours</v>
      </c>
      <c r="L772" t="s">
        <v>17</v>
      </c>
      <c r="M772">
        <v>10</v>
      </c>
      <c r="N772">
        <v>5</v>
      </c>
      <c r="O772">
        <v>7</v>
      </c>
      <c r="P772">
        <v>0</v>
      </c>
    </row>
    <row r="773" spans="1:16" x14ac:dyDescent="0.25">
      <c r="A773">
        <v>13</v>
      </c>
      <c r="B773" t="s">
        <v>14</v>
      </c>
      <c r="C773">
        <v>7.6</v>
      </c>
      <c r="D773" t="str">
        <f t="shared" si="36"/>
        <v>High</v>
      </c>
      <c r="E773" t="s">
        <v>12</v>
      </c>
      <c r="F773" s="1">
        <v>7.9</v>
      </c>
      <c r="G773" t="str">
        <f t="shared" si="37"/>
        <v>Low</v>
      </c>
      <c r="H773">
        <v>3</v>
      </c>
      <c r="I773">
        <v>2.54</v>
      </c>
      <c r="J773" s="1">
        <v>1.2</v>
      </c>
      <c r="K773" t="str">
        <f t="shared" si="38"/>
        <v>1-2 hours</v>
      </c>
      <c r="L773" t="s">
        <v>16</v>
      </c>
      <c r="M773">
        <v>8</v>
      </c>
      <c r="N773">
        <v>8</v>
      </c>
      <c r="O773">
        <v>1</v>
      </c>
      <c r="P773">
        <v>0</v>
      </c>
    </row>
    <row r="774" spans="1:16" x14ac:dyDescent="0.25">
      <c r="A774">
        <v>19</v>
      </c>
      <c r="B774" t="s">
        <v>14</v>
      </c>
      <c r="C774">
        <v>6.3</v>
      </c>
      <c r="D774" t="str">
        <f t="shared" si="36"/>
        <v>Medium</v>
      </c>
      <c r="E774" t="s">
        <v>18</v>
      </c>
      <c r="F774" s="1">
        <v>5.7</v>
      </c>
      <c r="G774" t="str">
        <f t="shared" si="37"/>
        <v>Low</v>
      </c>
      <c r="H774">
        <v>2.2999999999999998</v>
      </c>
      <c r="I774">
        <v>2.16</v>
      </c>
      <c r="J774" s="1">
        <v>1.9</v>
      </c>
      <c r="K774" t="str">
        <f t="shared" si="38"/>
        <v>1-2 hours</v>
      </c>
      <c r="L774" t="s">
        <v>16</v>
      </c>
      <c r="M774">
        <v>6</v>
      </c>
      <c r="N774">
        <v>3</v>
      </c>
      <c r="O774">
        <v>6</v>
      </c>
      <c r="P774">
        <v>0</v>
      </c>
    </row>
    <row r="775" spans="1:16" x14ac:dyDescent="0.25">
      <c r="A775">
        <v>18</v>
      </c>
      <c r="B775" t="s">
        <v>14</v>
      </c>
      <c r="C775">
        <v>2</v>
      </c>
      <c r="D775" t="str">
        <f t="shared" si="36"/>
        <v>Medium</v>
      </c>
      <c r="E775" t="s">
        <v>12</v>
      </c>
      <c r="F775" s="1">
        <v>5.9</v>
      </c>
      <c r="G775" t="str">
        <f t="shared" si="37"/>
        <v>Low</v>
      </c>
      <c r="H775">
        <v>2.9</v>
      </c>
      <c r="I775">
        <v>3.52</v>
      </c>
      <c r="J775" s="1">
        <v>1.1000000000000001</v>
      </c>
      <c r="K775" t="str">
        <f t="shared" si="38"/>
        <v>1-2 hours</v>
      </c>
      <c r="L775" t="s">
        <v>16</v>
      </c>
      <c r="M775">
        <v>8</v>
      </c>
      <c r="N775">
        <v>6</v>
      </c>
      <c r="O775">
        <v>10</v>
      </c>
      <c r="P775">
        <v>0</v>
      </c>
    </row>
    <row r="776" spans="1:16" x14ac:dyDescent="0.25">
      <c r="A776">
        <v>15</v>
      </c>
      <c r="B776" t="s">
        <v>11</v>
      </c>
      <c r="C776">
        <v>4</v>
      </c>
      <c r="D776" t="str">
        <f t="shared" si="36"/>
        <v>Medium</v>
      </c>
      <c r="E776" t="s">
        <v>15</v>
      </c>
      <c r="F776" s="1">
        <v>4.5</v>
      </c>
      <c r="G776" t="str">
        <f t="shared" si="37"/>
        <v>Low</v>
      </c>
      <c r="H776">
        <v>1.9</v>
      </c>
      <c r="I776">
        <v>3.22</v>
      </c>
      <c r="J776" s="1">
        <v>0.2</v>
      </c>
      <c r="K776" t="str">
        <f t="shared" si="38"/>
        <v>0-1 hours</v>
      </c>
      <c r="L776" t="s">
        <v>17</v>
      </c>
      <c r="M776">
        <v>4</v>
      </c>
      <c r="N776">
        <v>5</v>
      </c>
      <c r="O776">
        <v>3</v>
      </c>
      <c r="P776">
        <v>0</v>
      </c>
    </row>
    <row r="777" spans="1:16" x14ac:dyDescent="0.25">
      <c r="A777">
        <v>14</v>
      </c>
      <c r="B777" t="s">
        <v>11</v>
      </c>
      <c r="C777">
        <v>4.9000000000000004</v>
      </c>
      <c r="D777" t="str">
        <f t="shared" si="36"/>
        <v>Medium</v>
      </c>
      <c r="E777" t="s">
        <v>12</v>
      </c>
      <c r="F777" s="1">
        <v>5.5</v>
      </c>
      <c r="G777" t="str">
        <f t="shared" si="37"/>
        <v>Low</v>
      </c>
      <c r="H777">
        <v>1.6</v>
      </c>
      <c r="I777">
        <v>2.85</v>
      </c>
      <c r="J777" s="1">
        <v>0.4</v>
      </c>
      <c r="K777" t="str">
        <f t="shared" si="38"/>
        <v>0-1 hours</v>
      </c>
      <c r="L777" t="s">
        <v>13</v>
      </c>
      <c r="M777">
        <v>8</v>
      </c>
      <c r="N777">
        <v>1</v>
      </c>
      <c r="O777">
        <v>8</v>
      </c>
      <c r="P777">
        <v>0</v>
      </c>
    </row>
    <row r="778" spans="1:16" x14ac:dyDescent="0.25">
      <c r="A778">
        <v>14</v>
      </c>
      <c r="B778" t="s">
        <v>14</v>
      </c>
      <c r="C778">
        <v>6.9</v>
      </c>
      <c r="D778" t="str">
        <f t="shared" si="36"/>
        <v>Medium</v>
      </c>
      <c r="E778" t="s">
        <v>15</v>
      </c>
      <c r="F778" s="1">
        <v>8</v>
      </c>
      <c r="G778" t="str">
        <f t="shared" si="37"/>
        <v>Normal</v>
      </c>
      <c r="H778">
        <v>1.6</v>
      </c>
      <c r="I778">
        <v>2.64</v>
      </c>
      <c r="J778" s="1">
        <v>0.1</v>
      </c>
      <c r="K778" t="str">
        <f t="shared" si="38"/>
        <v>0-1 hours</v>
      </c>
      <c r="L778" t="s">
        <v>17</v>
      </c>
      <c r="M778">
        <v>3</v>
      </c>
      <c r="N778">
        <v>3</v>
      </c>
      <c r="O778">
        <v>3</v>
      </c>
      <c r="P778">
        <v>0</v>
      </c>
    </row>
    <row r="779" spans="1:16" x14ac:dyDescent="0.25">
      <c r="A779">
        <v>15</v>
      </c>
      <c r="B779" t="s">
        <v>11</v>
      </c>
      <c r="C779">
        <v>5.4</v>
      </c>
      <c r="D779" t="str">
        <f t="shared" si="36"/>
        <v>Medium</v>
      </c>
      <c r="E779" t="s">
        <v>15</v>
      </c>
      <c r="F779" s="1">
        <v>4.2</v>
      </c>
      <c r="G779" t="str">
        <f t="shared" si="37"/>
        <v>Low</v>
      </c>
      <c r="H779">
        <v>1.8</v>
      </c>
      <c r="I779">
        <v>2.15</v>
      </c>
      <c r="J779" s="1">
        <v>0.3</v>
      </c>
      <c r="K779" t="str">
        <f t="shared" si="38"/>
        <v>0-1 hours</v>
      </c>
      <c r="L779" t="s">
        <v>17</v>
      </c>
      <c r="M779">
        <v>1</v>
      </c>
      <c r="N779">
        <v>10</v>
      </c>
      <c r="O779">
        <v>5</v>
      </c>
      <c r="P779">
        <v>0</v>
      </c>
    </row>
    <row r="780" spans="1:16" x14ac:dyDescent="0.25">
      <c r="A780">
        <v>13</v>
      </c>
      <c r="B780" t="s">
        <v>14</v>
      </c>
      <c r="C780">
        <v>3.8</v>
      </c>
      <c r="D780" t="str">
        <f t="shared" si="36"/>
        <v>Medium</v>
      </c>
      <c r="E780" t="s">
        <v>18</v>
      </c>
      <c r="F780" s="1">
        <v>8.9</v>
      </c>
      <c r="G780" t="str">
        <f t="shared" si="37"/>
        <v>Normal</v>
      </c>
      <c r="H780">
        <v>2.5</v>
      </c>
      <c r="I780">
        <v>2.29</v>
      </c>
      <c r="J780" s="1">
        <v>0.6</v>
      </c>
      <c r="K780" t="str">
        <f t="shared" si="38"/>
        <v>0-1 hours</v>
      </c>
      <c r="L780" t="s">
        <v>16</v>
      </c>
      <c r="M780">
        <v>9</v>
      </c>
      <c r="N780">
        <v>9</v>
      </c>
      <c r="O780">
        <v>7</v>
      </c>
      <c r="P780">
        <v>0</v>
      </c>
    </row>
    <row r="781" spans="1:16" x14ac:dyDescent="0.25">
      <c r="A781">
        <v>15</v>
      </c>
      <c r="B781" t="s">
        <v>11</v>
      </c>
      <c r="C781">
        <v>7.8</v>
      </c>
      <c r="D781" t="str">
        <f t="shared" si="36"/>
        <v>High</v>
      </c>
      <c r="E781" t="s">
        <v>18</v>
      </c>
      <c r="F781" s="1">
        <v>6.8</v>
      </c>
      <c r="G781" t="str">
        <f t="shared" si="37"/>
        <v>Low</v>
      </c>
      <c r="H781">
        <v>0.6</v>
      </c>
      <c r="I781">
        <v>3.2</v>
      </c>
      <c r="J781" s="1">
        <v>1.7</v>
      </c>
      <c r="K781" t="str">
        <f t="shared" si="38"/>
        <v>1-2 hours</v>
      </c>
      <c r="L781" t="s">
        <v>17</v>
      </c>
      <c r="M781">
        <v>1</v>
      </c>
      <c r="N781">
        <v>7</v>
      </c>
      <c r="O781">
        <v>5</v>
      </c>
      <c r="P781">
        <v>0</v>
      </c>
    </row>
    <row r="782" spans="1:16" x14ac:dyDescent="0.25">
      <c r="A782">
        <v>15</v>
      </c>
      <c r="B782" t="s">
        <v>11</v>
      </c>
      <c r="C782">
        <v>3.5</v>
      </c>
      <c r="D782" t="str">
        <f t="shared" si="36"/>
        <v>Medium</v>
      </c>
      <c r="E782" t="s">
        <v>18</v>
      </c>
      <c r="F782" s="1">
        <v>8.8000000000000007</v>
      </c>
      <c r="G782" t="str">
        <f t="shared" si="37"/>
        <v>Normal</v>
      </c>
      <c r="H782">
        <v>1.8</v>
      </c>
      <c r="I782">
        <v>3.5</v>
      </c>
      <c r="J782" s="1">
        <v>0.8</v>
      </c>
      <c r="K782" t="str">
        <f t="shared" si="38"/>
        <v>0-1 hours</v>
      </c>
      <c r="L782" t="s">
        <v>13</v>
      </c>
      <c r="M782">
        <v>3</v>
      </c>
      <c r="N782">
        <v>6</v>
      </c>
      <c r="O782">
        <v>3</v>
      </c>
      <c r="P782">
        <v>0</v>
      </c>
    </row>
    <row r="783" spans="1:16" x14ac:dyDescent="0.25">
      <c r="A783">
        <v>19</v>
      </c>
      <c r="B783" t="s">
        <v>14</v>
      </c>
      <c r="C783">
        <v>5.4</v>
      </c>
      <c r="D783" t="str">
        <f t="shared" si="36"/>
        <v>Medium</v>
      </c>
      <c r="E783" t="s">
        <v>12</v>
      </c>
      <c r="F783" s="1">
        <v>7.3</v>
      </c>
      <c r="G783" t="str">
        <f t="shared" si="37"/>
        <v>Low</v>
      </c>
      <c r="H783">
        <v>2</v>
      </c>
      <c r="I783">
        <v>3.98</v>
      </c>
      <c r="J783" s="1">
        <v>0.9</v>
      </c>
      <c r="K783" t="str">
        <f t="shared" si="38"/>
        <v>0-1 hours</v>
      </c>
      <c r="L783" t="s">
        <v>17</v>
      </c>
      <c r="M783">
        <v>6</v>
      </c>
      <c r="N783">
        <v>6</v>
      </c>
      <c r="O783">
        <v>1</v>
      </c>
      <c r="P783">
        <v>0</v>
      </c>
    </row>
    <row r="784" spans="1:16" x14ac:dyDescent="0.25">
      <c r="A784">
        <v>17</v>
      </c>
      <c r="B784" t="s">
        <v>11</v>
      </c>
      <c r="C784">
        <v>3.8</v>
      </c>
      <c r="D784" t="str">
        <f t="shared" si="36"/>
        <v>Medium</v>
      </c>
      <c r="E784" t="s">
        <v>18</v>
      </c>
      <c r="F784" s="1">
        <v>5.7</v>
      </c>
      <c r="G784" t="str">
        <f t="shared" si="37"/>
        <v>Low</v>
      </c>
      <c r="H784">
        <v>2</v>
      </c>
      <c r="I784">
        <v>3.01</v>
      </c>
      <c r="J784" s="1">
        <v>1</v>
      </c>
      <c r="K784" t="str">
        <f t="shared" si="38"/>
        <v>0-1 hours</v>
      </c>
      <c r="L784" t="s">
        <v>13</v>
      </c>
      <c r="M784">
        <v>1</v>
      </c>
      <c r="N784">
        <v>3</v>
      </c>
      <c r="O784">
        <v>1</v>
      </c>
      <c r="P784">
        <v>0</v>
      </c>
    </row>
    <row r="785" spans="1:16" x14ac:dyDescent="0.25">
      <c r="A785">
        <v>17</v>
      </c>
      <c r="B785" t="s">
        <v>11</v>
      </c>
      <c r="C785">
        <v>8</v>
      </c>
      <c r="D785" t="str">
        <f t="shared" si="36"/>
        <v>High</v>
      </c>
      <c r="E785" t="s">
        <v>12</v>
      </c>
      <c r="F785" s="1">
        <v>6.9</v>
      </c>
      <c r="G785" t="str">
        <f t="shared" si="37"/>
        <v>Low</v>
      </c>
      <c r="H785">
        <v>2.2000000000000002</v>
      </c>
      <c r="I785">
        <v>2.36</v>
      </c>
      <c r="J785" s="1">
        <v>1.6</v>
      </c>
      <c r="K785" t="str">
        <f t="shared" si="38"/>
        <v>1-2 hours</v>
      </c>
      <c r="L785" t="s">
        <v>13</v>
      </c>
      <c r="M785">
        <v>4</v>
      </c>
      <c r="N785">
        <v>2</v>
      </c>
      <c r="O785">
        <v>8</v>
      </c>
      <c r="P785">
        <v>0</v>
      </c>
    </row>
    <row r="786" spans="1:16" x14ac:dyDescent="0.25">
      <c r="A786">
        <v>14</v>
      </c>
      <c r="B786" t="s">
        <v>14</v>
      </c>
      <c r="C786">
        <v>3.7</v>
      </c>
      <c r="D786" t="str">
        <f t="shared" si="36"/>
        <v>Medium</v>
      </c>
      <c r="E786" t="s">
        <v>15</v>
      </c>
      <c r="F786" s="1">
        <v>5.7</v>
      </c>
      <c r="G786" t="str">
        <f t="shared" si="37"/>
        <v>Low</v>
      </c>
      <c r="H786">
        <v>1.7</v>
      </c>
      <c r="I786">
        <v>2.88</v>
      </c>
      <c r="J786" s="1">
        <v>0.2</v>
      </c>
      <c r="K786" t="str">
        <f t="shared" si="38"/>
        <v>0-1 hours</v>
      </c>
      <c r="L786" t="s">
        <v>13</v>
      </c>
      <c r="M786">
        <v>9</v>
      </c>
      <c r="N786">
        <v>10</v>
      </c>
      <c r="O786">
        <v>3</v>
      </c>
      <c r="P786">
        <v>0</v>
      </c>
    </row>
    <row r="787" spans="1:16" x14ac:dyDescent="0.25">
      <c r="A787">
        <v>19</v>
      </c>
      <c r="B787" t="s">
        <v>14</v>
      </c>
      <c r="C787">
        <v>5</v>
      </c>
      <c r="D787" t="str">
        <f t="shared" si="36"/>
        <v>Medium</v>
      </c>
      <c r="E787" t="s">
        <v>12</v>
      </c>
      <c r="F787" s="1">
        <v>6.3</v>
      </c>
      <c r="G787" t="str">
        <f t="shared" si="37"/>
        <v>Low</v>
      </c>
      <c r="H787">
        <v>2.9</v>
      </c>
      <c r="I787">
        <v>2.04</v>
      </c>
      <c r="J787" s="1">
        <v>0.5</v>
      </c>
      <c r="K787" t="str">
        <f t="shared" si="38"/>
        <v>0-1 hours</v>
      </c>
      <c r="L787" t="s">
        <v>17</v>
      </c>
      <c r="M787">
        <v>5</v>
      </c>
      <c r="N787">
        <v>2</v>
      </c>
      <c r="O787">
        <v>2</v>
      </c>
      <c r="P787">
        <v>0</v>
      </c>
    </row>
    <row r="788" spans="1:16" x14ac:dyDescent="0.25">
      <c r="A788">
        <v>19</v>
      </c>
      <c r="B788" t="s">
        <v>14</v>
      </c>
      <c r="C788">
        <v>4.2</v>
      </c>
      <c r="D788" t="str">
        <f t="shared" si="36"/>
        <v>Medium</v>
      </c>
      <c r="E788" t="s">
        <v>12</v>
      </c>
      <c r="F788" s="1">
        <v>7.1</v>
      </c>
      <c r="G788" t="str">
        <f t="shared" si="37"/>
        <v>Low</v>
      </c>
      <c r="H788">
        <v>2.5</v>
      </c>
      <c r="I788">
        <v>3.91</v>
      </c>
      <c r="J788" s="1">
        <v>1.5</v>
      </c>
      <c r="K788" t="str">
        <f t="shared" si="38"/>
        <v>1-2 hours</v>
      </c>
      <c r="L788" t="s">
        <v>16</v>
      </c>
      <c r="M788">
        <v>6</v>
      </c>
      <c r="N788">
        <v>8</v>
      </c>
      <c r="O788">
        <v>9</v>
      </c>
      <c r="P788">
        <v>0</v>
      </c>
    </row>
    <row r="789" spans="1:16" x14ac:dyDescent="0.25">
      <c r="A789">
        <v>16</v>
      </c>
      <c r="B789" t="s">
        <v>11</v>
      </c>
      <c r="C789">
        <v>4.5999999999999996</v>
      </c>
      <c r="D789" t="str">
        <f t="shared" si="36"/>
        <v>Medium</v>
      </c>
      <c r="E789" t="s">
        <v>12</v>
      </c>
      <c r="F789" s="1">
        <v>8.1999999999999993</v>
      </c>
      <c r="G789" t="str">
        <f t="shared" si="37"/>
        <v>Normal</v>
      </c>
      <c r="H789">
        <v>1.5</v>
      </c>
      <c r="I789">
        <v>2.13</v>
      </c>
      <c r="J789" s="1">
        <v>1</v>
      </c>
      <c r="K789" t="str">
        <f t="shared" si="38"/>
        <v>0-1 hours</v>
      </c>
      <c r="L789" t="s">
        <v>13</v>
      </c>
      <c r="M789">
        <v>3</v>
      </c>
      <c r="N789">
        <v>2</v>
      </c>
      <c r="O789">
        <v>2</v>
      </c>
      <c r="P789">
        <v>0</v>
      </c>
    </row>
    <row r="790" spans="1:16" x14ac:dyDescent="0.25">
      <c r="A790">
        <v>18</v>
      </c>
      <c r="B790" t="s">
        <v>11</v>
      </c>
      <c r="C790">
        <v>5.5</v>
      </c>
      <c r="D790" t="str">
        <f t="shared" si="36"/>
        <v>Medium</v>
      </c>
      <c r="E790" t="s">
        <v>12</v>
      </c>
      <c r="F790" s="1">
        <v>5</v>
      </c>
      <c r="G790" t="str">
        <f t="shared" si="37"/>
        <v>Low</v>
      </c>
      <c r="H790">
        <v>0.9</v>
      </c>
      <c r="I790">
        <v>2.93</v>
      </c>
      <c r="J790" s="1">
        <v>1.1000000000000001</v>
      </c>
      <c r="K790" t="str">
        <f t="shared" si="38"/>
        <v>1-2 hours</v>
      </c>
      <c r="L790" t="s">
        <v>13</v>
      </c>
      <c r="M790">
        <v>4</v>
      </c>
      <c r="N790">
        <v>10</v>
      </c>
      <c r="O790">
        <v>10</v>
      </c>
      <c r="P790">
        <v>0</v>
      </c>
    </row>
    <row r="791" spans="1:16" x14ac:dyDescent="0.25">
      <c r="A791">
        <v>19</v>
      </c>
      <c r="B791" t="s">
        <v>14</v>
      </c>
      <c r="C791">
        <v>1.8</v>
      </c>
      <c r="D791" t="str">
        <f t="shared" si="36"/>
        <v>Low</v>
      </c>
      <c r="E791" t="s">
        <v>12</v>
      </c>
      <c r="F791" s="1">
        <v>4.5</v>
      </c>
      <c r="G791" t="str">
        <f t="shared" si="37"/>
        <v>Low</v>
      </c>
      <c r="H791">
        <v>2.8</v>
      </c>
      <c r="I791">
        <v>3.22</v>
      </c>
      <c r="J791" s="1">
        <v>1.6</v>
      </c>
      <c r="K791" t="str">
        <f t="shared" si="38"/>
        <v>1-2 hours</v>
      </c>
      <c r="L791" t="s">
        <v>17</v>
      </c>
      <c r="M791">
        <v>5</v>
      </c>
      <c r="N791">
        <v>3</v>
      </c>
      <c r="O791">
        <v>10</v>
      </c>
      <c r="P791">
        <v>0</v>
      </c>
    </row>
    <row r="792" spans="1:16" x14ac:dyDescent="0.25">
      <c r="A792">
        <v>14</v>
      </c>
      <c r="B792" t="s">
        <v>14</v>
      </c>
      <c r="C792">
        <v>6.6</v>
      </c>
      <c r="D792" t="str">
        <f t="shared" si="36"/>
        <v>Medium</v>
      </c>
      <c r="E792" t="s">
        <v>15</v>
      </c>
      <c r="F792" s="1">
        <v>6.2</v>
      </c>
      <c r="G792" t="str">
        <f t="shared" si="37"/>
        <v>Low</v>
      </c>
      <c r="H792">
        <v>1.8</v>
      </c>
      <c r="I792">
        <v>2.36</v>
      </c>
      <c r="J792" s="1">
        <v>1.7</v>
      </c>
      <c r="K792" t="str">
        <f t="shared" si="38"/>
        <v>1-2 hours</v>
      </c>
      <c r="L792" t="s">
        <v>16</v>
      </c>
      <c r="M792">
        <v>4</v>
      </c>
      <c r="N792">
        <v>1</v>
      </c>
      <c r="O792">
        <v>8</v>
      </c>
      <c r="P792">
        <v>0</v>
      </c>
    </row>
    <row r="793" spans="1:16" x14ac:dyDescent="0.25">
      <c r="A793">
        <v>15</v>
      </c>
      <c r="B793" t="s">
        <v>14</v>
      </c>
      <c r="C793">
        <v>4.4000000000000004</v>
      </c>
      <c r="D793" t="str">
        <f t="shared" si="36"/>
        <v>Medium</v>
      </c>
      <c r="E793" t="s">
        <v>15</v>
      </c>
      <c r="F793" s="1">
        <v>5.3</v>
      </c>
      <c r="G793" t="str">
        <f t="shared" si="37"/>
        <v>Low</v>
      </c>
      <c r="H793">
        <v>0.9</v>
      </c>
      <c r="I793">
        <v>3.75</v>
      </c>
      <c r="J793" s="1">
        <v>0.5</v>
      </c>
      <c r="K793" t="str">
        <f t="shared" si="38"/>
        <v>0-1 hours</v>
      </c>
      <c r="L793" t="s">
        <v>16</v>
      </c>
      <c r="M793">
        <v>10</v>
      </c>
      <c r="N793">
        <v>5</v>
      </c>
      <c r="O793">
        <v>5</v>
      </c>
      <c r="P793">
        <v>0</v>
      </c>
    </row>
    <row r="794" spans="1:16" x14ac:dyDescent="0.25">
      <c r="A794">
        <v>14</v>
      </c>
      <c r="B794" t="s">
        <v>14</v>
      </c>
      <c r="C794">
        <v>4.7</v>
      </c>
      <c r="D794" t="str">
        <f t="shared" si="36"/>
        <v>Medium</v>
      </c>
      <c r="E794" t="s">
        <v>15</v>
      </c>
      <c r="F794" s="1">
        <v>4.4000000000000004</v>
      </c>
      <c r="G794" t="str">
        <f t="shared" si="37"/>
        <v>Low</v>
      </c>
      <c r="H794">
        <v>2.1</v>
      </c>
      <c r="I794">
        <v>3.92</v>
      </c>
      <c r="J794" s="1">
        <v>0.9</v>
      </c>
      <c r="K794" t="str">
        <f t="shared" si="38"/>
        <v>0-1 hours</v>
      </c>
      <c r="L794" t="s">
        <v>13</v>
      </c>
      <c r="M794">
        <v>10</v>
      </c>
      <c r="N794">
        <v>1</v>
      </c>
      <c r="O794">
        <v>4</v>
      </c>
      <c r="P794">
        <v>0</v>
      </c>
    </row>
    <row r="795" spans="1:16" x14ac:dyDescent="0.25">
      <c r="A795">
        <v>18</v>
      </c>
      <c r="B795" t="s">
        <v>14</v>
      </c>
      <c r="C795">
        <v>7.1</v>
      </c>
      <c r="D795" t="str">
        <f t="shared" si="36"/>
        <v>High</v>
      </c>
      <c r="E795" t="s">
        <v>12</v>
      </c>
      <c r="F795" s="1">
        <v>5.7</v>
      </c>
      <c r="G795" t="str">
        <f t="shared" si="37"/>
        <v>Low</v>
      </c>
      <c r="H795">
        <v>0.6</v>
      </c>
      <c r="I795">
        <v>2.9</v>
      </c>
      <c r="J795" s="1">
        <v>1.7</v>
      </c>
      <c r="K795" t="str">
        <f t="shared" si="38"/>
        <v>1-2 hours</v>
      </c>
      <c r="L795" t="s">
        <v>17</v>
      </c>
      <c r="M795">
        <v>3</v>
      </c>
      <c r="N795">
        <v>1</v>
      </c>
      <c r="O795">
        <v>6</v>
      </c>
      <c r="P795">
        <v>0</v>
      </c>
    </row>
    <row r="796" spans="1:16" x14ac:dyDescent="0.25">
      <c r="A796">
        <v>17</v>
      </c>
      <c r="B796" t="s">
        <v>11</v>
      </c>
      <c r="C796">
        <v>4</v>
      </c>
      <c r="D796" t="str">
        <f t="shared" si="36"/>
        <v>Medium</v>
      </c>
      <c r="E796" t="s">
        <v>18</v>
      </c>
      <c r="F796" s="1">
        <v>8.5</v>
      </c>
      <c r="G796" t="str">
        <f t="shared" si="37"/>
        <v>Normal</v>
      </c>
      <c r="H796">
        <v>1</v>
      </c>
      <c r="I796">
        <v>2.16</v>
      </c>
      <c r="J796" s="1">
        <v>0.1</v>
      </c>
      <c r="K796" t="str">
        <f t="shared" si="38"/>
        <v>0-1 hours</v>
      </c>
      <c r="L796" t="s">
        <v>13</v>
      </c>
      <c r="M796">
        <v>1</v>
      </c>
      <c r="N796">
        <v>7</v>
      </c>
      <c r="O796">
        <v>5</v>
      </c>
      <c r="P796">
        <v>0</v>
      </c>
    </row>
    <row r="797" spans="1:16" x14ac:dyDescent="0.25">
      <c r="A797">
        <v>18</v>
      </c>
      <c r="B797" t="s">
        <v>14</v>
      </c>
      <c r="C797">
        <v>5.5</v>
      </c>
      <c r="D797" t="str">
        <f t="shared" si="36"/>
        <v>Medium</v>
      </c>
      <c r="E797" t="s">
        <v>12</v>
      </c>
      <c r="F797" s="1">
        <v>5.3</v>
      </c>
      <c r="G797" t="str">
        <f t="shared" si="37"/>
        <v>Low</v>
      </c>
      <c r="H797">
        <v>2.6</v>
      </c>
      <c r="I797">
        <v>3.09</v>
      </c>
      <c r="J797" s="1">
        <v>2</v>
      </c>
      <c r="K797" t="str">
        <f t="shared" si="38"/>
        <v>1-2 hours</v>
      </c>
      <c r="L797" t="s">
        <v>13</v>
      </c>
      <c r="M797">
        <v>8</v>
      </c>
      <c r="N797">
        <v>6</v>
      </c>
      <c r="O797">
        <v>3</v>
      </c>
      <c r="P797">
        <v>0</v>
      </c>
    </row>
    <row r="798" spans="1:16" x14ac:dyDescent="0.25">
      <c r="A798">
        <v>19</v>
      </c>
      <c r="B798" t="s">
        <v>11</v>
      </c>
      <c r="C798">
        <v>5.6</v>
      </c>
      <c r="D798" t="str">
        <f t="shared" si="36"/>
        <v>Medium</v>
      </c>
      <c r="E798" t="s">
        <v>15</v>
      </c>
      <c r="F798" s="1">
        <v>6.5</v>
      </c>
      <c r="G798" t="str">
        <f t="shared" si="37"/>
        <v>Low</v>
      </c>
      <c r="H798">
        <v>1.4</v>
      </c>
      <c r="I798">
        <v>3.19</v>
      </c>
      <c r="J798" s="1">
        <v>0</v>
      </c>
      <c r="K798" t="str">
        <f t="shared" si="38"/>
        <v>No activity</v>
      </c>
      <c r="L798" t="s">
        <v>16</v>
      </c>
      <c r="M798">
        <v>9</v>
      </c>
      <c r="N798">
        <v>9</v>
      </c>
      <c r="O798">
        <v>7</v>
      </c>
      <c r="P798">
        <v>0</v>
      </c>
    </row>
    <row r="799" spans="1:16" x14ac:dyDescent="0.25">
      <c r="A799">
        <v>14</v>
      </c>
      <c r="B799" t="s">
        <v>14</v>
      </c>
      <c r="C799">
        <v>3.7</v>
      </c>
      <c r="D799" t="str">
        <f t="shared" si="36"/>
        <v>Medium</v>
      </c>
      <c r="E799" t="s">
        <v>18</v>
      </c>
      <c r="F799" s="1">
        <v>7.1</v>
      </c>
      <c r="G799" t="str">
        <f t="shared" si="37"/>
        <v>Low</v>
      </c>
      <c r="H799">
        <v>1.7</v>
      </c>
      <c r="I799">
        <v>2.5</v>
      </c>
      <c r="J799" s="1">
        <v>1.8</v>
      </c>
      <c r="K799" t="str">
        <f t="shared" si="38"/>
        <v>1-2 hours</v>
      </c>
      <c r="L799" t="s">
        <v>17</v>
      </c>
      <c r="M799">
        <v>10</v>
      </c>
      <c r="N799">
        <v>4</v>
      </c>
      <c r="O799">
        <v>5</v>
      </c>
      <c r="P799">
        <v>0</v>
      </c>
    </row>
    <row r="800" spans="1:16" x14ac:dyDescent="0.25">
      <c r="A800">
        <v>16</v>
      </c>
      <c r="B800" t="s">
        <v>11</v>
      </c>
      <c r="C800">
        <v>1.8</v>
      </c>
      <c r="D800" t="str">
        <f t="shared" si="36"/>
        <v>Low</v>
      </c>
      <c r="E800" t="s">
        <v>15</v>
      </c>
      <c r="F800" s="1">
        <v>7.4</v>
      </c>
      <c r="G800" t="str">
        <f t="shared" si="37"/>
        <v>Low</v>
      </c>
      <c r="H800">
        <v>2.2999999999999998</v>
      </c>
      <c r="I800">
        <v>3.76</v>
      </c>
      <c r="J800" s="1">
        <v>0.8</v>
      </c>
      <c r="K800" t="str">
        <f t="shared" si="38"/>
        <v>0-1 hours</v>
      </c>
      <c r="L800" t="s">
        <v>13</v>
      </c>
      <c r="M800">
        <v>9</v>
      </c>
      <c r="N800">
        <v>5</v>
      </c>
      <c r="O800">
        <v>8</v>
      </c>
      <c r="P800">
        <v>0</v>
      </c>
    </row>
    <row r="801" spans="1:16" x14ac:dyDescent="0.25">
      <c r="A801">
        <v>16</v>
      </c>
      <c r="B801" t="s">
        <v>14</v>
      </c>
      <c r="C801">
        <v>7.6</v>
      </c>
      <c r="D801" t="str">
        <f t="shared" si="36"/>
        <v>High</v>
      </c>
      <c r="E801" t="s">
        <v>15</v>
      </c>
      <c r="F801" s="1">
        <v>4.2</v>
      </c>
      <c r="G801" t="str">
        <f t="shared" si="37"/>
        <v>Low</v>
      </c>
      <c r="H801">
        <v>2.8</v>
      </c>
      <c r="I801">
        <v>3.87</v>
      </c>
      <c r="J801" s="1">
        <v>0.7</v>
      </c>
      <c r="K801" t="str">
        <f t="shared" si="38"/>
        <v>0-1 hours</v>
      </c>
      <c r="L801" t="s">
        <v>16</v>
      </c>
      <c r="M801">
        <v>10</v>
      </c>
      <c r="N801">
        <v>2</v>
      </c>
      <c r="O801">
        <v>9</v>
      </c>
      <c r="P801">
        <v>0</v>
      </c>
    </row>
    <row r="802" spans="1:16" x14ac:dyDescent="0.25">
      <c r="A802">
        <v>18</v>
      </c>
      <c r="B802" t="s">
        <v>11</v>
      </c>
      <c r="C802">
        <v>5.7</v>
      </c>
      <c r="D802" t="str">
        <f t="shared" si="36"/>
        <v>Medium</v>
      </c>
      <c r="E802" t="s">
        <v>15</v>
      </c>
      <c r="F802" s="1">
        <v>8</v>
      </c>
      <c r="G802" t="str">
        <f t="shared" si="37"/>
        <v>Normal</v>
      </c>
      <c r="H802">
        <v>2.5</v>
      </c>
      <c r="I802">
        <v>3.4</v>
      </c>
      <c r="J802" s="1">
        <v>0.1</v>
      </c>
      <c r="K802" t="str">
        <f t="shared" si="38"/>
        <v>0-1 hours</v>
      </c>
      <c r="L802" t="s">
        <v>13</v>
      </c>
      <c r="M802">
        <v>5</v>
      </c>
      <c r="N802">
        <v>2</v>
      </c>
      <c r="O802">
        <v>1</v>
      </c>
      <c r="P802">
        <v>0</v>
      </c>
    </row>
    <row r="803" spans="1:16" x14ac:dyDescent="0.25">
      <c r="A803">
        <v>14</v>
      </c>
      <c r="B803" t="s">
        <v>14</v>
      </c>
      <c r="C803">
        <v>6.1</v>
      </c>
      <c r="D803" t="str">
        <f t="shared" si="36"/>
        <v>Medium</v>
      </c>
      <c r="E803" t="s">
        <v>12</v>
      </c>
      <c r="F803" s="1">
        <v>7</v>
      </c>
      <c r="G803" t="str">
        <f t="shared" si="37"/>
        <v>Low</v>
      </c>
      <c r="H803">
        <v>2.7</v>
      </c>
      <c r="I803">
        <v>3.97</v>
      </c>
      <c r="J803" s="1">
        <v>1</v>
      </c>
      <c r="K803" t="str">
        <f t="shared" si="38"/>
        <v>0-1 hours</v>
      </c>
      <c r="L803" t="s">
        <v>17</v>
      </c>
      <c r="M803">
        <v>1</v>
      </c>
      <c r="N803">
        <v>8</v>
      </c>
      <c r="O803">
        <v>8</v>
      </c>
      <c r="P803">
        <v>0</v>
      </c>
    </row>
    <row r="804" spans="1:16" x14ac:dyDescent="0.25">
      <c r="A804">
        <v>13</v>
      </c>
      <c r="B804" t="s">
        <v>14</v>
      </c>
      <c r="C804">
        <v>6</v>
      </c>
      <c r="D804" t="str">
        <f t="shared" si="36"/>
        <v>Medium</v>
      </c>
      <c r="E804" t="s">
        <v>12</v>
      </c>
      <c r="F804" s="1">
        <v>7.2</v>
      </c>
      <c r="G804" t="str">
        <f t="shared" si="37"/>
        <v>Low</v>
      </c>
      <c r="H804">
        <v>0.6</v>
      </c>
      <c r="I804">
        <v>2.11</v>
      </c>
      <c r="J804" s="1">
        <v>1.1000000000000001</v>
      </c>
      <c r="K804" t="str">
        <f t="shared" si="38"/>
        <v>1-2 hours</v>
      </c>
      <c r="L804" t="s">
        <v>13</v>
      </c>
      <c r="M804">
        <v>1</v>
      </c>
      <c r="N804">
        <v>3</v>
      </c>
      <c r="O804">
        <v>6</v>
      </c>
      <c r="P804">
        <v>0</v>
      </c>
    </row>
    <row r="805" spans="1:16" x14ac:dyDescent="0.25">
      <c r="A805">
        <v>15</v>
      </c>
      <c r="B805" t="s">
        <v>14</v>
      </c>
      <c r="C805">
        <v>3.1</v>
      </c>
      <c r="D805" t="str">
        <f t="shared" si="36"/>
        <v>Medium</v>
      </c>
      <c r="E805" t="s">
        <v>15</v>
      </c>
      <c r="F805" s="1">
        <v>4.2</v>
      </c>
      <c r="G805" t="str">
        <f t="shared" si="37"/>
        <v>Low</v>
      </c>
      <c r="H805">
        <v>2.4</v>
      </c>
      <c r="I805">
        <v>3.41</v>
      </c>
      <c r="J805" s="1">
        <v>0.2</v>
      </c>
      <c r="K805" t="str">
        <f t="shared" si="38"/>
        <v>0-1 hours</v>
      </c>
      <c r="L805" t="s">
        <v>13</v>
      </c>
      <c r="M805">
        <v>3</v>
      </c>
      <c r="N805">
        <v>7</v>
      </c>
      <c r="O805">
        <v>5</v>
      </c>
      <c r="P805">
        <v>0</v>
      </c>
    </row>
    <row r="806" spans="1:16" x14ac:dyDescent="0.25">
      <c r="A806">
        <v>17</v>
      </c>
      <c r="B806" t="s">
        <v>11</v>
      </c>
      <c r="C806">
        <v>7.6</v>
      </c>
      <c r="D806" t="str">
        <f t="shared" si="36"/>
        <v>High</v>
      </c>
      <c r="E806" t="s">
        <v>12</v>
      </c>
      <c r="F806" s="1">
        <v>6</v>
      </c>
      <c r="G806" t="str">
        <f t="shared" si="37"/>
        <v>Low</v>
      </c>
      <c r="H806">
        <v>2</v>
      </c>
      <c r="I806">
        <v>3.82</v>
      </c>
      <c r="J806" s="1">
        <v>1.5</v>
      </c>
      <c r="K806" t="str">
        <f t="shared" si="38"/>
        <v>1-2 hours</v>
      </c>
      <c r="L806" t="s">
        <v>13</v>
      </c>
      <c r="M806">
        <v>8</v>
      </c>
      <c r="N806">
        <v>9</v>
      </c>
      <c r="O806">
        <v>7</v>
      </c>
      <c r="P806">
        <v>0</v>
      </c>
    </row>
    <row r="807" spans="1:16" x14ac:dyDescent="0.25">
      <c r="A807">
        <v>17</v>
      </c>
      <c r="B807" t="s">
        <v>11</v>
      </c>
      <c r="C807">
        <v>6</v>
      </c>
      <c r="D807" t="str">
        <f t="shared" si="36"/>
        <v>Medium</v>
      </c>
      <c r="E807" t="s">
        <v>18</v>
      </c>
      <c r="F807" s="1">
        <v>5.3</v>
      </c>
      <c r="G807" t="str">
        <f t="shared" si="37"/>
        <v>Low</v>
      </c>
      <c r="H807">
        <v>2.7</v>
      </c>
      <c r="I807">
        <v>3.2</v>
      </c>
      <c r="J807" s="1">
        <v>1.4</v>
      </c>
      <c r="K807" t="str">
        <f t="shared" si="38"/>
        <v>1-2 hours</v>
      </c>
      <c r="L807" t="s">
        <v>17</v>
      </c>
      <c r="M807">
        <v>8</v>
      </c>
      <c r="N807">
        <v>2</v>
      </c>
      <c r="O807">
        <v>4</v>
      </c>
      <c r="P807">
        <v>0</v>
      </c>
    </row>
    <row r="808" spans="1:16" x14ac:dyDescent="0.25">
      <c r="A808">
        <v>13</v>
      </c>
      <c r="B808" t="s">
        <v>14</v>
      </c>
      <c r="C808">
        <v>3.5</v>
      </c>
      <c r="D808" t="str">
        <f t="shared" si="36"/>
        <v>Medium</v>
      </c>
      <c r="E808" t="s">
        <v>12</v>
      </c>
      <c r="F808" s="1">
        <v>5.3</v>
      </c>
      <c r="G808" t="str">
        <f t="shared" si="37"/>
        <v>Low</v>
      </c>
      <c r="H808">
        <v>2.7</v>
      </c>
      <c r="I808">
        <v>3.7</v>
      </c>
      <c r="J808" s="1">
        <v>0.5</v>
      </c>
      <c r="K808" t="str">
        <f t="shared" si="38"/>
        <v>0-1 hours</v>
      </c>
      <c r="L808" t="s">
        <v>13</v>
      </c>
      <c r="M808">
        <v>3</v>
      </c>
      <c r="N808">
        <v>7</v>
      </c>
      <c r="O808">
        <v>2</v>
      </c>
      <c r="P808">
        <v>0</v>
      </c>
    </row>
    <row r="809" spans="1:16" x14ac:dyDescent="0.25">
      <c r="A809">
        <v>14</v>
      </c>
      <c r="B809" t="s">
        <v>14</v>
      </c>
      <c r="C809">
        <v>1.3</v>
      </c>
      <c r="D809" t="str">
        <f t="shared" si="36"/>
        <v>Low</v>
      </c>
      <c r="E809" t="s">
        <v>15</v>
      </c>
      <c r="F809" s="1">
        <v>7.5</v>
      </c>
      <c r="G809" t="str">
        <f t="shared" si="37"/>
        <v>Low</v>
      </c>
      <c r="H809">
        <v>1.4</v>
      </c>
      <c r="I809">
        <v>3.85</v>
      </c>
      <c r="J809" s="1">
        <v>1.6</v>
      </c>
      <c r="K809" t="str">
        <f t="shared" si="38"/>
        <v>1-2 hours</v>
      </c>
      <c r="L809" t="s">
        <v>17</v>
      </c>
      <c r="M809">
        <v>10</v>
      </c>
      <c r="N809">
        <v>8</v>
      </c>
      <c r="O809">
        <v>7</v>
      </c>
      <c r="P809">
        <v>0</v>
      </c>
    </row>
    <row r="810" spans="1:16" x14ac:dyDescent="0.25">
      <c r="A810">
        <v>18</v>
      </c>
      <c r="B810" t="s">
        <v>14</v>
      </c>
      <c r="C810">
        <v>2.8</v>
      </c>
      <c r="D810" t="str">
        <f t="shared" si="36"/>
        <v>Medium</v>
      </c>
      <c r="E810" t="s">
        <v>15</v>
      </c>
      <c r="F810" s="1">
        <v>7</v>
      </c>
      <c r="G810" t="str">
        <f t="shared" si="37"/>
        <v>Low</v>
      </c>
      <c r="H810">
        <v>2.9</v>
      </c>
      <c r="I810">
        <v>3.91</v>
      </c>
      <c r="J810" s="1">
        <v>1.1000000000000001</v>
      </c>
      <c r="K810" t="str">
        <f t="shared" si="38"/>
        <v>1-2 hours</v>
      </c>
      <c r="L810" t="s">
        <v>17</v>
      </c>
      <c r="M810">
        <v>9</v>
      </c>
      <c r="N810">
        <v>9</v>
      </c>
      <c r="O810">
        <v>1</v>
      </c>
      <c r="P810">
        <v>0</v>
      </c>
    </row>
    <row r="811" spans="1:16" x14ac:dyDescent="0.25">
      <c r="A811">
        <v>14</v>
      </c>
      <c r="B811" t="s">
        <v>11</v>
      </c>
      <c r="C811">
        <v>3.9</v>
      </c>
      <c r="D811" t="str">
        <f t="shared" si="36"/>
        <v>Medium</v>
      </c>
      <c r="E811" t="s">
        <v>18</v>
      </c>
      <c r="F811" s="1">
        <v>4.8</v>
      </c>
      <c r="G811" t="str">
        <f t="shared" si="37"/>
        <v>Low</v>
      </c>
      <c r="H811">
        <v>0.8</v>
      </c>
      <c r="I811">
        <v>3.32</v>
      </c>
      <c r="J811" s="1">
        <v>0.3</v>
      </c>
      <c r="K811" t="str">
        <f t="shared" si="38"/>
        <v>0-1 hours</v>
      </c>
      <c r="L811" t="s">
        <v>16</v>
      </c>
      <c r="M811">
        <v>5</v>
      </c>
      <c r="N811">
        <v>2</v>
      </c>
      <c r="O811">
        <v>5</v>
      </c>
      <c r="P811">
        <v>0</v>
      </c>
    </row>
    <row r="812" spans="1:16" x14ac:dyDescent="0.25">
      <c r="A812">
        <v>19</v>
      </c>
      <c r="B812" t="s">
        <v>11</v>
      </c>
      <c r="C812">
        <v>3.9</v>
      </c>
      <c r="D812" t="str">
        <f t="shared" si="36"/>
        <v>Medium</v>
      </c>
      <c r="E812" t="s">
        <v>18</v>
      </c>
      <c r="F812" s="1">
        <v>4.8</v>
      </c>
      <c r="G812" t="str">
        <f t="shared" si="37"/>
        <v>Low</v>
      </c>
      <c r="H812">
        <v>2.8</v>
      </c>
      <c r="I812">
        <v>3.98</v>
      </c>
      <c r="J812" s="1">
        <v>1.9</v>
      </c>
      <c r="K812" t="str">
        <f t="shared" si="38"/>
        <v>1-2 hours</v>
      </c>
      <c r="L812" t="s">
        <v>17</v>
      </c>
      <c r="M812">
        <v>7</v>
      </c>
      <c r="N812">
        <v>5</v>
      </c>
      <c r="O812">
        <v>3</v>
      </c>
      <c r="P812">
        <v>0</v>
      </c>
    </row>
    <row r="813" spans="1:16" x14ac:dyDescent="0.25">
      <c r="A813">
        <v>14</v>
      </c>
      <c r="B813" t="s">
        <v>11</v>
      </c>
      <c r="C813">
        <v>7.4</v>
      </c>
      <c r="D813" t="str">
        <f t="shared" si="36"/>
        <v>High</v>
      </c>
      <c r="E813" t="s">
        <v>12</v>
      </c>
      <c r="F813" s="1">
        <v>8.9</v>
      </c>
      <c r="G813" t="str">
        <f t="shared" si="37"/>
        <v>Normal</v>
      </c>
      <c r="H813">
        <v>2.4</v>
      </c>
      <c r="I813">
        <v>2.29</v>
      </c>
      <c r="J813" s="1">
        <v>1.1000000000000001</v>
      </c>
      <c r="K813" t="str">
        <f t="shared" si="38"/>
        <v>1-2 hours</v>
      </c>
      <c r="L813" t="s">
        <v>13</v>
      </c>
      <c r="M813">
        <v>10</v>
      </c>
      <c r="N813">
        <v>4</v>
      </c>
      <c r="O813">
        <v>8</v>
      </c>
      <c r="P813">
        <v>0</v>
      </c>
    </row>
    <row r="814" spans="1:16" x14ac:dyDescent="0.25">
      <c r="A814">
        <v>19</v>
      </c>
      <c r="B814" t="s">
        <v>14</v>
      </c>
      <c r="C814">
        <v>5.4</v>
      </c>
      <c r="D814" t="str">
        <f t="shared" si="36"/>
        <v>Medium</v>
      </c>
      <c r="E814" t="s">
        <v>15</v>
      </c>
      <c r="F814" s="1">
        <v>7.4</v>
      </c>
      <c r="G814" t="str">
        <f t="shared" si="37"/>
        <v>Low</v>
      </c>
      <c r="H814">
        <v>1.7</v>
      </c>
      <c r="I814">
        <v>2.88</v>
      </c>
      <c r="J814" s="1">
        <v>0.6</v>
      </c>
      <c r="K814" t="str">
        <f t="shared" si="38"/>
        <v>0-1 hours</v>
      </c>
      <c r="L814" t="s">
        <v>13</v>
      </c>
      <c r="M814">
        <v>6</v>
      </c>
      <c r="N814">
        <v>10</v>
      </c>
      <c r="O814">
        <v>9</v>
      </c>
      <c r="P814">
        <v>0</v>
      </c>
    </row>
    <row r="815" spans="1:16" x14ac:dyDescent="0.25">
      <c r="A815">
        <v>19</v>
      </c>
      <c r="B815" t="s">
        <v>14</v>
      </c>
      <c r="C815">
        <v>6.6</v>
      </c>
      <c r="D815" t="str">
        <f t="shared" si="36"/>
        <v>Medium</v>
      </c>
      <c r="E815" t="s">
        <v>18</v>
      </c>
      <c r="F815" s="1">
        <v>6.8</v>
      </c>
      <c r="G815" t="str">
        <f t="shared" si="37"/>
        <v>Low</v>
      </c>
      <c r="H815">
        <v>0.8</v>
      </c>
      <c r="I815">
        <v>2.64</v>
      </c>
      <c r="J815" s="1">
        <v>1.5</v>
      </c>
      <c r="K815" t="str">
        <f t="shared" si="38"/>
        <v>1-2 hours</v>
      </c>
      <c r="L815" t="s">
        <v>13</v>
      </c>
      <c r="M815">
        <v>5</v>
      </c>
      <c r="N815">
        <v>4</v>
      </c>
      <c r="O815">
        <v>6</v>
      </c>
      <c r="P815">
        <v>0</v>
      </c>
    </row>
    <row r="816" spans="1:16" x14ac:dyDescent="0.25">
      <c r="A816">
        <v>17</v>
      </c>
      <c r="B816" t="s">
        <v>11</v>
      </c>
      <c r="C816">
        <v>5.9</v>
      </c>
      <c r="D816" t="str">
        <f t="shared" si="36"/>
        <v>Medium</v>
      </c>
      <c r="E816" t="s">
        <v>12</v>
      </c>
      <c r="F816" s="1">
        <v>7.4</v>
      </c>
      <c r="G816" t="str">
        <f t="shared" si="37"/>
        <v>Low</v>
      </c>
      <c r="H816">
        <v>1.7</v>
      </c>
      <c r="I816">
        <v>2.5</v>
      </c>
      <c r="J816" s="1">
        <v>0.7</v>
      </c>
      <c r="K816" t="str">
        <f t="shared" si="38"/>
        <v>0-1 hours</v>
      </c>
      <c r="L816" t="s">
        <v>16</v>
      </c>
      <c r="M816">
        <v>6</v>
      </c>
      <c r="N816">
        <v>7</v>
      </c>
      <c r="O816">
        <v>1</v>
      </c>
      <c r="P816">
        <v>0</v>
      </c>
    </row>
    <row r="817" spans="1:16" x14ac:dyDescent="0.25">
      <c r="A817">
        <v>17</v>
      </c>
      <c r="B817" t="s">
        <v>11</v>
      </c>
      <c r="C817">
        <v>3.3</v>
      </c>
      <c r="D817" t="str">
        <f t="shared" si="36"/>
        <v>Medium</v>
      </c>
      <c r="E817" t="s">
        <v>18</v>
      </c>
      <c r="F817" s="1">
        <v>5.2</v>
      </c>
      <c r="G817" t="str">
        <f t="shared" si="37"/>
        <v>Low</v>
      </c>
      <c r="H817">
        <v>1.8</v>
      </c>
      <c r="I817">
        <v>2.1</v>
      </c>
      <c r="J817" s="1">
        <v>1.2</v>
      </c>
      <c r="K817" t="str">
        <f t="shared" si="38"/>
        <v>1-2 hours</v>
      </c>
      <c r="L817" t="s">
        <v>13</v>
      </c>
      <c r="M817">
        <v>2</v>
      </c>
      <c r="N817">
        <v>3</v>
      </c>
      <c r="O817">
        <v>9</v>
      </c>
      <c r="P817">
        <v>0</v>
      </c>
    </row>
    <row r="818" spans="1:16" x14ac:dyDescent="0.25">
      <c r="A818">
        <v>15</v>
      </c>
      <c r="B818" t="s">
        <v>14</v>
      </c>
      <c r="C818">
        <v>2.8</v>
      </c>
      <c r="D818" t="str">
        <f t="shared" si="36"/>
        <v>Medium</v>
      </c>
      <c r="E818" t="s">
        <v>12</v>
      </c>
      <c r="F818" s="1">
        <v>7.7</v>
      </c>
      <c r="G818" t="str">
        <f t="shared" si="37"/>
        <v>Low</v>
      </c>
      <c r="H818">
        <v>1</v>
      </c>
      <c r="I818">
        <v>3.73</v>
      </c>
      <c r="J818" s="1">
        <v>0.5</v>
      </c>
      <c r="K818" t="str">
        <f t="shared" si="38"/>
        <v>0-1 hours</v>
      </c>
      <c r="L818" t="s">
        <v>17</v>
      </c>
      <c r="M818">
        <v>6</v>
      </c>
      <c r="N818">
        <v>10</v>
      </c>
      <c r="O818">
        <v>1</v>
      </c>
      <c r="P818">
        <v>0</v>
      </c>
    </row>
    <row r="819" spans="1:16" x14ac:dyDescent="0.25">
      <c r="A819">
        <v>14</v>
      </c>
      <c r="B819" t="s">
        <v>14</v>
      </c>
      <c r="C819">
        <v>7.3</v>
      </c>
      <c r="D819" t="str">
        <f t="shared" si="36"/>
        <v>High</v>
      </c>
      <c r="E819" t="s">
        <v>15</v>
      </c>
      <c r="F819" s="1">
        <v>8.8000000000000007</v>
      </c>
      <c r="G819" t="str">
        <f t="shared" si="37"/>
        <v>Normal</v>
      </c>
      <c r="H819">
        <v>2.5</v>
      </c>
      <c r="I819">
        <v>2.12</v>
      </c>
      <c r="J819" s="1">
        <v>0.5</v>
      </c>
      <c r="K819" t="str">
        <f t="shared" si="38"/>
        <v>0-1 hours</v>
      </c>
      <c r="L819" t="s">
        <v>16</v>
      </c>
      <c r="M819">
        <v>10</v>
      </c>
      <c r="N819">
        <v>10</v>
      </c>
      <c r="O819">
        <v>1</v>
      </c>
      <c r="P819">
        <v>0</v>
      </c>
    </row>
    <row r="820" spans="1:16" x14ac:dyDescent="0.25">
      <c r="A820">
        <v>18</v>
      </c>
      <c r="B820" t="s">
        <v>11</v>
      </c>
      <c r="C820">
        <v>2.8</v>
      </c>
      <c r="D820" t="str">
        <f t="shared" si="36"/>
        <v>Medium</v>
      </c>
      <c r="E820" t="s">
        <v>12</v>
      </c>
      <c r="F820" s="1">
        <v>6.9</v>
      </c>
      <c r="G820" t="str">
        <f t="shared" si="37"/>
        <v>Low</v>
      </c>
      <c r="H820">
        <v>2.2999999999999998</v>
      </c>
      <c r="I820">
        <v>3.11</v>
      </c>
      <c r="J820" s="1">
        <v>0.1</v>
      </c>
      <c r="K820" t="str">
        <f t="shared" si="38"/>
        <v>0-1 hours</v>
      </c>
      <c r="L820" t="s">
        <v>17</v>
      </c>
      <c r="M820">
        <v>7</v>
      </c>
      <c r="N820">
        <v>1</v>
      </c>
      <c r="O820">
        <v>9</v>
      </c>
      <c r="P820">
        <v>0</v>
      </c>
    </row>
    <row r="821" spans="1:16" x14ac:dyDescent="0.25">
      <c r="A821">
        <v>18</v>
      </c>
      <c r="B821" t="s">
        <v>14</v>
      </c>
      <c r="C821">
        <v>7.2</v>
      </c>
      <c r="D821" t="str">
        <f t="shared" si="36"/>
        <v>High</v>
      </c>
      <c r="E821" t="s">
        <v>15</v>
      </c>
      <c r="F821" s="1">
        <v>7.7</v>
      </c>
      <c r="G821" t="str">
        <f t="shared" si="37"/>
        <v>Low</v>
      </c>
      <c r="H821">
        <v>1.2</v>
      </c>
      <c r="I821">
        <v>3.7</v>
      </c>
      <c r="J821" s="1">
        <v>0.1</v>
      </c>
      <c r="K821" t="str">
        <f t="shared" si="38"/>
        <v>0-1 hours</v>
      </c>
      <c r="L821" t="s">
        <v>13</v>
      </c>
      <c r="M821">
        <v>6</v>
      </c>
      <c r="N821">
        <v>3</v>
      </c>
      <c r="O821">
        <v>9</v>
      </c>
      <c r="P821">
        <v>0</v>
      </c>
    </row>
    <row r="822" spans="1:16" x14ac:dyDescent="0.25">
      <c r="A822">
        <v>19</v>
      </c>
      <c r="B822" t="s">
        <v>14</v>
      </c>
      <c r="C822">
        <v>7.1</v>
      </c>
      <c r="D822" t="str">
        <f t="shared" si="36"/>
        <v>High</v>
      </c>
      <c r="E822" t="s">
        <v>15</v>
      </c>
      <c r="F822" s="1">
        <v>6.3</v>
      </c>
      <c r="G822" t="str">
        <f t="shared" si="37"/>
        <v>Low</v>
      </c>
      <c r="H822">
        <v>0.8</v>
      </c>
      <c r="I822">
        <v>3.66</v>
      </c>
      <c r="J822" s="1">
        <v>0.5</v>
      </c>
      <c r="K822" t="str">
        <f t="shared" si="38"/>
        <v>0-1 hours</v>
      </c>
      <c r="L822" t="s">
        <v>16</v>
      </c>
      <c r="M822">
        <v>3</v>
      </c>
      <c r="N822">
        <v>7</v>
      </c>
      <c r="O822">
        <v>7</v>
      </c>
      <c r="P822">
        <v>0</v>
      </c>
    </row>
    <row r="823" spans="1:16" x14ac:dyDescent="0.25">
      <c r="A823">
        <v>13</v>
      </c>
      <c r="B823" t="s">
        <v>14</v>
      </c>
      <c r="C823">
        <v>4.3</v>
      </c>
      <c r="D823" t="str">
        <f t="shared" si="36"/>
        <v>Medium</v>
      </c>
      <c r="E823" t="s">
        <v>15</v>
      </c>
      <c r="F823" s="1">
        <v>4.4000000000000004</v>
      </c>
      <c r="G823" t="str">
        <f t="shared" si="37"/>
        <v>Low</v>
      </c>
      <c r="H823">
        <v>0.9</v>
      </c>
      <c r="I823">
        <v>2.35</v>
      </c>
      <c r="J823" s="1">
        <v>1.5</v>
      </c>
      <c r="K823" t="str">
        <f t="shared" si="38"/>
        <v>1-2 hours</v>
      </c>
      <c r="L823" t="s">
        <v>16</v>
      </c>
      <c r="M823">
        <v>3</v>
      </c>
      <c r="N823">
        <v>1</v>
      </c>
      <c r="O823">
        <v>7</v>
      </c>
      <c r="P823">
        <v>0</v>
      </c>
    </row>
    <row r="824" spans="1:16" x14ac:dyDescent="0.25">
      <c r="A824">
        <v>19</v>
      </c>
      <c r="B824" t="s">
        <v>11</v>
      </c>
      <c r="C824">
        <v>1.6</v>
      </c>
      <c r="D824" t="str">
        <f t="shared" si="36"/>
        <v>Low</v>
      </c>
      <c r="E824" t="s">
        <v>18</v>
      </c>
      <c r="F824" s="1">
        <v>4.4000000000000004</v>
      </c>
      <c r="G824" t="str">
        <f t="shared" si="37"/>
        <v>Low</v>
      </c>
      <c r="H824">
        <v>1.4</v>
      </c>
      <c r="I824">
        <v>2.0299999999999998</v>
      </c>
      <c r="J824" s="1">
        <v>1.1000000000000001</v>
      </c>
      <c r="K824" t="str">
        <f t="shared" si="38"/>
        <v>1-2 hours</v>
      </c>
      <c r="L824" t="s">
        <v>16</v>
      </c>
      <c r="M824">
        <v>2</v>
      </c>
      <c r="N824">
        <v>9</v>
      </c>
      <c r="O824">
        <v>5</v>
      </c>
      <c r="P824">
        <v>0</v>
      </c>
    </row>
    <row r="825" spans="1:16" x14ac:dyDescent="0.25">
      <c r="A825">
        <v>19</v>
      </c>
      <c r="B825" t="s">
        <v>14</v>
      </c>
      <c r="C825">
        <v>1.4</v>
      </c>
      <c r="D825" t="str">
        <f t="shared" si="36"/>
        <v>Low</v>
      </c>
      <c r="E825" t="s">
        <v>18</v>
      </c>
      <c r="F825" s="1">
        <v>8</v>
      </c>
      <c r="G825" t="str">
        <f t="shared" si="37"/>
        <v>Normal</v>
      </c>
      <c r="H825">
        <v>2.5</v>
      </c>
      <c r="I825">
        <v>3.54</v>
      </c>
      <c r="J825" s="1">
        <v>1.8</v>
      </c>
      <c r="K825" t="str">
        <f t="shared" si="38"/>
        <v>1-2 hours</v>
      </c>
      <c r="L825" t="s">
        <v>13</v>
      </c>
      <c r="M825">
        <v>4</v>
      </c>
      <c r="N825">
        <v>8</v>
      </c>
      <c r="O825">
        <v>3</v>
      </c>
      <c r="P825">
        <v>0</v>
      </c>
    </row>
    <row r="826" spans="1:16" x14ac:dyDescent="0.25">
      <c r="A826">
        <v>18</v>
      </c>
      <c r="B826" t="s">
        <v>14</v>
      </c>
      <c r="C826">
        <v>3.2</v>
      </c>
      <c r="D826" t="str">
        <f t="shared" si="36"/>
        <v>Medium</v>
      </c>
      <c r="E826" t="s">
        <v>12</v>
      </c>
      <c r="F826" s="1">
        <v>6.8</v>
      </c>
      <c r="G826" t="str">
        <f t="shared" si="37"/>
        <v>Low</v>
      </c>
      <c r="H826">
        <v>2.2999999999999998</v>
      </c>
      <c r="I826">
        <v>3.16</v>
      </c>
      <c r="J826" s="1">
        <v>1.8</v>
      </c>
      <c r="K826" t="str">
        <f t="shared" si="38"/>
        <v>1-2 hours</v>
      </c>
      <c r="L826" t="s">
        <v>13</v>
      </c>
      <c r="M826">
        <v>4</v>
      </c>
      <c r="N826">
        <v>8</v>
      </c>
      <c r="O826">
        <v>5</v>
      </c>
      <c r="P826">
        <v>0</v>
      </c>
    </row>
    <row r="827" spans="1:16" x14ac:dyDescent="0.25">
      <c r="A827">
        <v>17</v>
      </c>
      <c r="B827" t="s">
        <v>11</v>
      </c>
      <c r="C827">
        <v>1.5</v>
      </c>
      <c r="D827" t="str">
        <f t="shared" si="36"/>
        <v>Low</v>
      </c>
      <c r="E827" t="s">
        <v>18</v>
      </c>
      <c r="F827" s="1">
        <v>8</v>
      </c>
      <c r="G827" t="str">
        <f t="shared" si="37"/>
        <v>Normal</v>
      </c>
      <c r="H827">
        <v>0.5</v>
      </c>
      <c r="I827">
        <v>3.01</v>
      </c>
      <c r="J827" s="1">
        <v>0.4</v>
      </c>
      <c r="K827" t="str">
        <f t="shared" si="38"/>
        <v>0-1 hours</v>
      </c>
      <c r="L827" t="s">
        <v>17</v>
      </c>
      <c r="M827">
        <v>10</v>
      </c>
      <c r="N827">
        <v>2</v>
      </c>
      <c r="O827">
        <v>3</v>
      </c>
      <c r="P827">
        <v>0</v>
      </c>
    </row>
    <row r="828" spans="1:16" x14ac:dyDescent="0.25">
      <c r="A828">
        <v>18</v>
      </c>
      <c r="B828" t="s">
        <v>11</v>
      </c>
      <c r="C828">
        <v>7.5</v>
      </c>
      <c r="D828" t="str">
        <f t="shared" si="36"/>
        <v>High</v>
      </c>
      <c r="E828" t="s">
        <v>15</v>
      </c>
      <c r="F828" s="1">
        <v>5.0999999999999996</v>
      </c>
      <c r="G828" t="str">
        <f t="shared" si="37"/>
        <v>Low</v>
      </c>
      <c r="H828">
        <v>2.6</v>
      </c>
      <c r="I828">
        <v>3.82</v>
      </c>
      <c r="J828" s="1">
        <v>0.7</v>
      </c>
      <c r="K828" t="str">
        <f t="shared" si="38"/>
        <v>0-1 hours</v>
      </c>
      <c r="L828" t="s">
        <v>13</v>
      </c>
      <c r="M828">
        <v>7</v>
      </c>
      <c r="N828">
        <v>3</v>
      </c>
      <c r="O828">
        <v>8</v>
      </c>
      <c r="P828">
        <v>0</v>
      </c>
    </row>
    <row r="829" spans="1:16" x14ac:dyDescent="0.25">
      <c r="A829">
        <v>14</v>
      </c>
      <c r="B829" t="s">
        <v>14</v>
      </c>
      <c r="C829">
        <v>3.5</v>
      </c>
      <c r="D829" t="str">
        <f t="shared" si="36"/>
        <v>Medium</v>
      </c>
      <c r="E829" t="s">
        <v>12</v>
      </c>
      <c r="F829" s="1">
        <v>4.5999999999999996</v>
      </c>
      <c r="G829" t="str">
        <f t="shared" si="37"/>
        <v>Low</v>
      </c>
      <c r="H829">
        <v>0.7</v>
      </c>
      <c r="I829">
        <v>2.74</v>
      </c>
      <c r="J829" s="1">
        <v>1</v>
      </c>
      <c r="K829" t="str">
        <f t="shared" si="38"/>
        <v>0-1 hours</v>
      </c>
      <c r="L829" t="s">
        <v>13</v>
      </c>
      <c r="M829">
        <v>2</v>
      </c>
      <c r="N829">
        <v>7</v>
      </c>
      <c r="O829">
        <v>8</v>
      </c>
      <c r="P829">
        <v>0</v>
      </c>
    </row>
    <row r="830" spans="1:16" x14ac:dyDescent="0.25">
      <c r="A830">
        <v>17</v>
      </c>
      <c r="B830" t="s">
        <v>11</v>
      </c>
      <c r="C830">
        <v>4.4000000000000004</v>
      </c>
      <c r="D830" t="str">
        <f t="shared" si="36"/>
        <v>Medium</v>
      </c>
      <c r="E830" t="s">
        <v>18</v>
      </c>
      <c r="F830" s="1">
        <v>8.1999999999999993</v>
      </c>
      <c r="G830" t="str">
        <f t="shared" si="37"/>
        <v>Normal</v>
      </c>
      <c r="H830">
        <v>2.7</v>
      </c>
      <c r="I830">
        <v>3.13</v>
      </c>
      <c r="J830" s="1">
        <v>0.3</v>
      </c>
      <c r="K830" t="str">
        <f t="shared" si="38"/>
        <v>0-1 hours</v>
      </c>
      <c r="L830" t="s">
        <v>17</v>
      </c>
      <c r="M830">
        <v>3</v>
      </c>
      <c r="N830">
        <v>1</v>
      </c>
      <c r="O830">
        <v>2</v>
      </c>
      <c r="P830">
        <v>0</v>
      </c>
    </row>
    <row r="831" spans="1:16" x14ac:dyDescent="0.25">
      <c r="A831">
        <v>17</v>
      </c>
      <c r="B831" t="s">
        <v>11</v>
      </c>
      <c r="C831">
        <v>4.5999999999999996</v>
      </c>
      <c r="D831" t="str">
        <f t="shared" si="36"/>
        <v>Medium</v>
      </c>
      <c r="E831" t="s">
        <v>15</v>
      </c>
      <c r="F831" s="1">
        <v>5.0999999999999996</v>
      </c>
      <c r="G831" t="str">
        <f t="shared" si="37"/>
        <v>Low</v>
      </c>
      <c r="H831">
        <v>2.5</v>
      </c>
      <c r="I831">
        <v>2.13</v>
      </c>
      <c r="J831" s="1">
        <v>1</v>
      </c>
      <c r="K831" t="str">
        <f t="shared" si="38"/>
        <v>0-1 hours</v>
      </c>
      <c r="L831" t="s">
        <v>17</v>
      </c>
      <c r="M831">
        <v>2</v>
      </c>
      <c r="N831">
        <v>5</v>
      </c>
      <c r="O831">
        <v>6</v>
      </c>
      <c r="P831">
        <v>0</v>
      </c>
    </row>
    <row r="832" spans="1:16" x14ac:dyDescent="0.25">
      <c r="A832">
        <v>13</v>
      </c>
      <c r="B832" t="s">
        <v>11</v>
      </c>
      <c r="C832">
        <v>5.9</v>
      </c>
      <c r="D832" t="str">
        <f t="shared" si="36"/>
        <v>Medium</v>
      </c>
      <c r="E832" t="s">
        <v>15</v>
      </c>
      <c r="F832" s="1">
        <v>6.6</v>
      </c>
      <c r="G832" t="str">
        <f t="shared" si="37"/>
        <v>Low</v>
      </c>
      <c r="H832">
        <v>2.6</v>
      </c>
      <c r="I832">
        <v>3.58</v>
      </c>
      <c r="J832" s="1">
        <v>1.6</v>
      </c>
      <c r="K832" t="str">
        <f t="shared" si="38"/>
        <v>1-2 hours</v>
      </c>
      <c r="L832" t="s">
        <v>17</v>
      </c>
      <c r="M832">
        <v>7</v>
      </c>
      <c r="N832">
        <v>7</v>
      </c>
      <c r="O832">
        <v>10</v>
      </c>
      <c r="P832">
        <v>0</v>
      </c>
    </row>
    <row r="833" spans="1:16" x14ac:dyDescent="0.25">
      <c r="A833">
        <v>16</v>
      </c>
      <c r="B833" t="s">
        <v>14</v>
      </c>
      <c r="C833">
        <v>7.8</v>
      </c>
      <c r="D833" t="str">
        <f t="shared" si="36"/>
        <v>High</v>
      </c>
      <c r="E833" t="s">
        <v>15</v>
      </c>
      <c r="F833" s="1">
        <v>4.7</v>
      </c>
      <c r="G833" t="str">
        <f t="shared" si="37"/>
        <v>Low</v>
      </c>
      <c r="H833">
        <v>1.1000000000000001</v>
      </c>
      <c r="I833">
        <v>3.53</v>
      </c>
      <c r="J833" s="1">
        <v>2</v>
      </c>
      <c r="K833" t="str">
        <f t="shared" si="38"/>
        <v>1-2 hours</v>
      </c>
      <c r="L833" t="s">
        <v>17</v>
      </c>
      <c r="M833">
        <v>9</v>
      </c>
      <c r="N833">
        <v>3</v>
      </c>
      <c r="O833">
        <v>8</v>
      </c>
      <c r="P833">
        <v>0</v>
      </c>
    </row>
    <row r="834" spans="1:16" x14ac:dyDescent="0.25">
      <c r="A834">
        <v>15</v>
      </c>
      <c r="B834" t="s">
        <v>14</v>
      </c>
      <c r="C834">
        <v>4.8</v>
      </c>
      <c r="D834" t="str">
        <f t="shared" ref="D834:D897" si="39">IF(C834&lt;2,"Low",IF(C834&lt;7,"Medium","High"))</f>
        <v>Medium</v>
      </c>
      <c r="E834" t="s">
        <v>15</v>
      </c>
      <c r="F834" s="1">
        <v>7.3</v>
      </c>
      <c r="G834" t="str">
        <f t="shared" ref="G834:G897" si="40">IF(F834&gt;=8,"Normal","Low")</f>
        <v>Low</v>
      </c>
      <c r="H834">
        <v>1.9</v>
      </c>
      <c r="I834">
        <v>2.76</v>
      </c>
      <c r="J834" s="1">
        <v>0.9</v>
      </c>
      <c r="K834" t="str">
        <f t="shared" ref="K834:K897" si="41">IF(J834=0,"No activity",IF(J834&lt;=1,"0-1 hours","1-2 hours"))</f>
        <v>0-1 hours</v>
      </c>
      <c r="L834" t="s">
        <v>16</v>
      </c>
      <c r="M834">
        <v>2</v>
      </c>
      <c r="N834">
        <v>10</v>
      </c>
      <c r="O834">
        <v>1</v>
      </c>
      <c r="P834">
        <v>0</v>
      </c>
    </row>
    <row r="835" spans="1:16" x14ac:dyDescent="0.25">
      <c r="A835">
        <v>16</v>
      </c>
      <c r="B835" t="s">
        <v>14</v>
      </c>
      <c r="C835">
        <v>7.4</v>
      </c>
      <c r="D835" t="str">
        <f t="shared" si="39"/>
        <v>High</v>
      </c>
      <c r="E835" t="s">
        <v>15</v>
      </c>
      <c r="F835" s="1">
        <v>4.5999999999999996</v>
      </c>
      <c r="G835" t="str">
        <f t="shared" si="40"/>
        <v>Low</v>
      </c>
      <c r="H835">
        <v>1</v>
      </c>
      <c r="I835">
        <v>2.23</v>
      </c>
      <c r="J835" s="1">
        <v>1.1000000000000001</v>
      </c>
      <c r="K835" t="str">
        <f t="shared" si="41"/>
        <v>1-2 hours</v>
      </c>
      <c r="L835" t="s">
        <v>13</v>
      </c>
      <c r="M835">
        <v>2</v>
      </c>
      <c r="N835">
        <v>4</v>
      </c>
      <c r="O835">
        <v>5</v>
      </c>
      <c r="P835">
        <v>0</v>
      </c>
    </row>
    <row r="836" spans="1:16" x14ac:dyDescent="0.25">
      <c r="A836">
        <v>18</v>
      </c>
      <c r="B836" t="s">
        <v>11</v>
      </c>
      <c r="C836">
        <v>2.7</v>
      </c>
      <c r="D836" t="str">
        <f t="shared" si="39"/>
        <v>Medium</v>
      </c>
      <c r="E836" t="s">
        <v>12</v>
      </c>
      <c r="F836" s="1">
        <v>7.9</v>
      </c>
      <c r="G836" t="str">
        <f t="shared" si="40"/>
        <v>Low</v>
      </c>
      <c r="H836">
        <v>1.2</v>
      </c>
      <c r="I836">
        <v>2.75</v>
      </c>
      <c r="J836" s="1">
        <v>1.9</v>
      </c>
      <c r="K836" t="str">
        <f t="shared" si="41"/>
        <v>1-2 hours</v>
      </c>
      <c r="L836" t="s">
        <v>17</v>
      </c>
      <c r="M836">
        <v>5</v>
      </c>
      <c r="N836">
        <v>8</v>
      </c>
      <c r="O836">
        <v>3</v>
      </c>
      <c r="P836">
        <v>0</v>
      </c>
    </row>
    <row r="837" spans="1:16" x14ac:dyDescent="0.25">
      <c r="A837">
        <v>13</v>
      </c>
      <c r="B837" t="s">
        <v>14</v>
      </c>
      <c r="C837">
        <v>5.3</v>
      </c>
      <c r="D837" t="str">
        <f t="shared" si="39"/>
        <v>Medium</v>
      </c>
      <c r="E837" t="s">
        <v>15</v>
      </c>
      <c r="F837" s="1">
        <v>6.4</v>
      </c>
      <c r="G837" t="str">
        <f t="shared" si="40"/>
        <v>Low</v>
      </c>
      <c r="H837">
        <v>1.1000000000000001</v>
      </c>
      <c r="I837">
        <v>3.32</v>
      </c>
      <c r="J837" s="1">
        <v>1.9</v>
      </c>
      <c r="K837" t="str">
        <f t="shared" si="41"/>
        <v>1-2 hours</v>
      </c>
      <c r="L837" t="s">
        <v>17</v>
      </c>
      <c r="M837">
        <v>8</v>
      </c>
      <c r="N837">
        <v>5</v>
      </c>
      <c r="O837">
        <v>10</v>
      </c>
      <c r="P837">
        <v>0</v>
      </c>
    </row>
    <row r="838" spans="1:16" x14ac:dyDescent="0.25">
      <c r="A838">
        <v>16</v>
      </c>
      <c r="B838" t="s">
        <v>14</v>
      </c>
      <c r="C838">
        <v>3.6</v>
      </c>
      <c r="D838" t="str">
        <f t="shared" si="39"/>
        <v>Medium</v>
      </c>
      <c r="E838" t="s">
        <v>18</v>
      </c>
      <c r="F838" s="1">
        <v>4.4000000000000004</v>
      </c>
      <c r="G838" t="str">
        <f t="shared" si="40"/>
        <v>Low</v>
      </c>
      <c r="H838">
        <v>2.4</v>
      </c>
      <c r="I838">
        <v>2.5299999999999998</v>
      </c>
      <c r="J838" s="1">
        <v>0.7</v>
      </c>
      <c r="K838" t="str">
        <f t="shared" si="41"/>
        <v>0-1 hours</v>
      </c>
      <c r="L838" t="s">
        <v>17</v>
      </c>
      <c r="M838">
        <v>1</v>
      </c>
      <c r="N838">
        <v>7</v>
      </c>
      <c r="O838">
        <v>5</v>
      </c>
      <c r="P838">
        <v>0</v>
      </c>
    </row>
    <row r="839" spans="1:16" x14ac:dyDescent="0.25">
      <c r="A839">
        <v>18</v>
      </c>
      <c r="B839" t="s">
        <v>11</v>
      </c>
      <c r="C839">
        <v>2.5</v>
      </c>
      <c r="D839" t="str">
        <f t="shared" si="39"/>
        <v>Medium</v>
      </c>
      <c r="E839" t="s">
        <v>18</v>
      </c>
      <c r="F839" s="1">
        <v>5.7</v>
      </c>
      <c r="G839" t="str">
        <f t="shared" si="40"/>
        <v>Low</v>
      </c>
      <c r="H839">
        <v>2.1</v>
      </c>
      <c r="I839">
        <v>3.33</v>
      </c>
      <c r="J839" s="1">
        <v>0.6</v>
      </c>
      <c r="K839" t="str">
        <f t="shared" si="41"/>
        <v>0-1 hours</v>
      </c>
      <c r="L839" t="s">
        <v>13</v>
      </c>
      <c r="M839">
        <v>8</v>
      </c>
      <c r="N839">
        <v>4</v>
      </c>
      <c r="O839">
        <v>6</v>
      </c>
      <c r="P839">
        <v>0</v>
      </c>
    </row>
    <row r="840" spans="1:16" x14ac:dyDescent="0.25">
      <c r="A840">
        <v>15</v>
      </c>
      <c r="B840" t="s">
        <v>11</v>
      </c>
      <c r="C840">
        <v>4.5</v>
      </c>
      <c r="D840" t="str">
        <f t="shared" si="39"/>
        <v>Medium</v>
      </c>
      <c r="E840" t="s">
        <v>18</v>
      </c>
      <c r="F840" s="1">
        <v>7</v>
      </c>
      <c r="G840" t="str">
        <f t="shared" si="40"/>
        <v>Low</v>
      </c>
      <c r="H840">
        <v>1.5</v>
      </c>
      <c r="I840">
        <v>3.16</v>
      </c>
      <c r="J840" s="1">
        <v>1.7</v>
      </c>
      <c r="K840" t="str">
        <f t="shared" si="41"/>
        <v>1-2 hours</v>
      </c>
      <c r="L840" t="s">
        <v>17</v>
      </c>
      <c r="M840">
        <v>4</v>
      </c>
      <c r="N840">
        <v>7</v>
      </c>
      <c r="O840">
        <v>10</v>
      </c>
      <c r="P840">
        <v>0</v>
      </c>
    </row>
    <row r="841" spans="1:16" x14ac:dyDescent="0.25">
      <c r="A841">
        <v>18</v>
      </c>
      <c r="B841" t="s">
        <v>14</v>
      </c>
      <c r="C841">
        <v>1.9</v>
      </c>
      <c r="D841" t="str">
        <f t="shared" si="39"/>
        <v>Low</v>
      </c>
      <c r="E841" t="s">
        <v>18</v>
      </c>
      <c r="F841" s="1">
        <v>5.0999999999999996</v>
      </c>
      <c r="G841" t="str">
        <f t="shared" si="40"/>
        <v>Low</v>
      </c>
      <c r="H841">
        <v>2.9</v>
      </c>
      <c r="I841">
        <v>2.62</v>
      </c>
      <c r="J841" s="1">
        <v>1</v>
      </c>
      <c r="K841" t="str">
        <f t="shared" si="41"/>
        <v>0-1 hours</v>
      </c>
      <c r="L841" t="s">
        <v>13</v>
      </c>
      <c r="M841">
        <v>4</v>
      </c>
      <c r="N841">
        <v>3</v>
      </c>
      <c r="O841">
        <v>2</v>
      </c>
      <c r="P841">
        <v>0</v>
      </c>
    </row>
    <row r="842" spans="1:16" x14ac:dyDescent="0.25">
      <c r="A842">
        <v>17</v>
      </c>
      <c r="B842" t="s">
        <v>11</v>
      </c>
      <c r="C842">
        <v>3.8</v>
      </c>
      <c r="D842" t="str">
        <f t="shared" si="39"/>
        <v>Medium</v>
      </c>
      <c r="E842" t="s">
        <v>12</v>
      </c>
      <c r="F842" s="1">
        <v>7.7</v>
      </c>
      <c r="G842" t="str">
        <f t="shared" si="40"/>
        <v>Low</v>
      </c>
      <c r="H842">
        <v>0.7</v>
      </c>
      <c r="I842">
        <v>3.45</v>
      </c>
      <c r="J842" s="1">
        <v>1</v>
      </c>
      <c r="K842" t="str">
        <f t="shared" si="41"/>
        <v>0-1 hours</v>
      </c>
      <c r="L842" t="s">
        <v>13</v>
      </c>
      <c r="M842">
        <v>2</v>
      </c>
      <c r="N842">
        <v>8</v>
      </c>
      <c r="O842">
        <v>9</v>
      </c>
      <c r="P842">
        <v>0</v>
      </c>
    </row>
    <row r="843" spans="1:16" x14ac:dyDescent="0.25">
      <c r="A843">
        <v>18</v>
      </c>
      <c r="B843" t="s">
        <v>14</v>
      </c>
      <c r="C843">
        <v>3.9</v>
      </c>
      <c r="D843" t="str">
        <f t="shared" si="39"/>
        <v>Medium</v>
      </c>
      <c r="E843" t="s">
        <v>18</v>
      </c>
      <c r="F843" s="1">
        <v>4</v>
      </c>
      <c r="G843" t="str">
        <f t="shared" si="40"/>
        <v>Low</v>
      </c>
      <c r="H843">
        <v>1.8</v>
      </c>
      <c r="I843">
        <v>2.19</v>
      </c>
      <c r="J843" s="1">
        <v>1.4</v>
      </c>
      <c r="K843" t="str">
        <f t="shared" si="41"/>
        <v>1-2 hours</v>
      </c>
      <c r="L843" t="s">
        <v>16</v>
      </c>
      <c r="M843">
        <v>1</v>
      </c>
      <c r="N843">
        <v>2</v>
      </c>
      <c r="O843">
        <v>5</v>
      </c>
      <c r="P843">
        <v>0</v>
      </c>
    </row>
    <row r="844" spans="1:16" x14ac:dyDescent="0.25">
      <c r="A844">
        <v>17</v>
      </c>
      <c r="B844" t="s">
        <v>14</v>
      </c>
      <c r="C844">
        <v>1.1000000000000001</v>
      </c>
      <c r="D844" t="str">
        <f t="shared" si="39"/>
        <v>Low</v>
      </c>
      <c r="E844" t="s">
        <v>18</v>
      </c>
      <c r="F844" s="1">
        <v>8.6999999999999993</v>
      </c>
      <c r="G844" t="str">
        <f t="shared" si="40"/>
        <v>Normal</v>
      </c>
      <c r="H844">
        <v>2.1</v>
      </c>
      <c r="I844">
        <v>3.01</v>
      </c>
      <c r="J844" s="1">
        <v>0.7</v>
      </c>
      <c r="K844" t="str">
        <f t="shared" si="41"/>
        <v>0-1 hours</v>
      </c>
      <c r="L844" t="s">
        <v>17</v>
      </c>
      <c r="M844">
        <v>1</v>
      </c>
      <c r="N844">
        <v>1</v>
      </c>
      <c r="O844">
        <v>3</v>
      </c>
      <c r="P844">
        <v>0</v>
      </c>
    </row>
    <row r="845" spans="1:16" x14ac:dyDescent="0.25">
      <c r="A845">
        <v>15</v>
      </c>
      <c r="B845" t="s">
        <v>14</v>
      </c>
      <c r="C845">
        <v>3.9</v>
      </c>
      <c r="D845" t="str">
        <f t="shared" si="39"/>
        <v>Medium</v>
      </c>
      <c r="E845" t="s">
        <v>18</v>
      </c>
      <c r="F845" s="1">
        <v>8.6999999999999993</v>
      </c>
      <c r="G845" t="str">
        <f t="shared" si="40"/>
        <v>Normal</v>
      </c>
      <c r="H845">
        <v>1.1000000000000001</v>
      </c>
      <c r="I845">
        <v>2.82</v>
      </c>
      <c r="J845" s="1">
        <v>0.3</v>
      </c>
      <c r="K845" t="str">
        <f t="shared" si="41"/>
        <v>0-1 hours</v>
      </c>
      <c r="L845" t="s">
        <v>16</v>
      </c>
      <c r="M845">
        <v>5</v>
      </c>
      <c r="N845">
        <v>10</v>
      </c>
      <c r="O845">
        <v>6</v>
      </c>
      <c r="P845">
        <v>0</v>
      </c>
    </row>
    <row r="846" spans="1:16" x14ac:dyDescent="0.25">
      <c r="A846">
        <v>16</v>
      </c>
      <c r="B846" t="s">
        <v>11</v>
      </c>
      <c r="C846">
        <v>8</v>
      </c>
      <c r="D846" t="str">
        <f t="shared" si="39"/>
        <v>High</v>
      </c>
      <c r="E846" t="s">
        <v>12</v>
      </c>
      <c r="F846" s="1">
        <v>8.1</v>
      </c>
      <c r="G846" t="str">
        <f t="shared" si="40"/>
        <v>Normal</v>
      </c>
      <c r="H846">
        <v>2.5</v>
      </c>
      <c r="I846">
        <v>2.7</v>
      </c>
      <c r="J846" s="1">
        <v>1.7</v>
      </c>
      <c r="K846" t="str">
        <f t="shared" si="41"/>
        <v>1-2 hours</v>
      </c>
      <c r="L846" t="s">
        <v>17</v>
      </c>
      <c r="M846">
        <v>4</v>
      </c>
      <c r="N846">
        <v>5</v>
      </c>
      <c r="O846">
        <v>7</v>
      </c>
      <c r="P846">
        <v>0</v>
      </c>
    </row>
    <row r="847" spans="1:16" x14ac:dyDescent="0.25">
      <c r="A847">
        <v>14</v>
      </c>
      <c r="B847" t="s">
        <v>14</v>
      </c>
      <c r="C847">
        <v>1.2</v>
      </c>
      <c r="D847" t="str">
        <f t="shared" si="39"/>
        <v>Low</v>
      </c>
      <c r="E847" t="s">
        <v>15</v>
      </c>
      <c r="F847" s="1">
        <v>8.5</v>
      </c>
      <c r="G847" t="str">
        <f t="shared" si="40"/>
        <v>Normal</v>
      </c>
      <c r="H847">
        <v>2.2999999999999998</v>
      </c>
      <c r="I847">
        <v>3.91</v>
      </c>
      <c r="J847" s="1">
        <v>1.8</v>
      </c>
      <c r="K847" t="str">
        <f t="shared" si="41"/>
        <v>1-2 hours</v>
      </c>
      <c r="L847" t="s">
        <v>16</v>
      </c>
      <c r="M847">
        <v>1</v>
      </c>
      <c r="N847">
        <v>8</v>
      </c>
      <c r="O847">
        <v>1</v>
      </c>
      <c r="P847">
        <v>0</v>
      </c>
    </row>
    <row r="848" spans="1:16" x14ac:dyDescent="0.25">
      <c r="A848">
        <v>15</v>
      </c>
      <c r="B848" t="s">
        <v>11</v>
      </c>
      <c r="C848">
        <v>2.2000000000000002</v>
      </c>
      <c r="D848" t="str">
        <f t="shared" si="39"/>
        <v>Medium</v>
      </c>
      <c r="E848" t="s">
        <v>12</v>
      </c>
      <c r="F848" s="1">
        <v>6.1</v>
      </c>
      <c r="G848" t="str">
        <f t="shared" si="40"/>
        <v>Low</v>
      </c>
      <c r="H848">
        <v>0.9</v>
      </c>
      <c r="I848">
        <v>3.81</v>
      </c>
      <c r="J848" s="1">
        <v>0.1</v>
      </c>
      <c r="K848" t="str">
        <f t="shared" si="41"/>
        <v>0-1 hours</v>
      </c>
      <c r="L848" t="s">
        <v>16</v>
      </c>
      <c r="M848">
        <v>2</v>
      </c>
      <c r="N848">
        <v>7</v>
      </c>
      <c r="O848">
        <v>3</v>
      </c>
      <c r="P848">
        <v>0</v>
      </c>
    </row>
    <row r="849" spans="1:16" x14ac:dyDescent="0.25">
      <c r="A849">
        <v>15</v>
      </c>
      <c r="B849" t="s">
        <v>14</v>
      </c>
      <c r="C849">
        <v>4.2</v>
      </c>
      <c r="D849" t="str">
        <f t="shared" si="39"/>
        <v>Medium</v>
      </c>
      <c r="E849" t="s">
        <v>15</v>
      </c>
      <c r="F849" s="1">
        <v>6.8</v>
      </c>
      <c r="G849" t="str">
        <f t="shared" si="40"/>
        <v>Low</v>
      </c>
      <c r="H849">
        <v>1.4</v>
      </c>
      <c r="I849">
        <v>2.0099999999999998</v>
      </c>
      <c r="J849" s="1">
        <v>1</v>
      </c>
      <c r="K849" t="str">
        <f t="shared" si="41"/>
        <v>0-1 hours</v>
      </c>
      <c r="L849" t="s">
        <v>13</v>
      </c>
      <c r="M849">
        <v>6</v>
      </c>
      <c r="N849">
        <v>6</v>
      </c>
      <c r="O849">
        <v>4</v>
      </c>
      <c r="P849">
        <v>0</v>
      </c>
    </row>
    <row r="850" spans="1:16" x14ac:dyDescent="0.25">
      <c r="A850">
        <v>19</v>
      </c>
      <c r="B850" t="s">
        <v>11</v>
      </c>
      <c r="C850">
        <v>6</v>
      </c>
      <c r="D850" t="str">
        <f t="shared" si="39"/>
        <v>Medium</v>
      </c>
      <c r="E850" t="s">
        <v>18</v>
      </c>
      <c r="F850" s="1">
        <v>5.6</v>
      </c>
      <c r="G850" t="str">
        <f t="shared" si="40"/>
        <v>Low</v>
      </c>
      <c r="H850">
        <v>1.1000000000000001</v>
      </c>
      <c r="I850">
        <v>2.4300000000000002</v>
      </c>
      <c r="J850" s="1">
        <v>1.7</v>
      </c>
      <c r="K850" t="str">
        <f t="shared" si="41"/>
        <v>1-2 hours</v>
      </c>
      <c r="L850" t="s">
        <v>17</v>
      </c>
      <c r="M850">
        <v>1</v>
      </c>
      <c r="N850">
        <v>3</v>
      </c>
      <c r="O850">
        <v>3</v>
      </c>
      <c r="P850">
        <v>0</v>
      </c>
    </row>
    <row r="851" spans="1:16" x14ac:dyDescent="0.25">
      <c r="A851">
        <v>19</v>
      </c>
      <c r="B851" t="s">
        <v>11</v>
      </c>
      <c r="C851">
        <v>5.4</v>
      </c>
      <c r="D851" t="str">
        <f t="shared" si="39"/>
        <v>Medium</v>
      </c>
      <c r="E851" t="s">
        <v>12</v>
      </c>
      <c r="F851" s="1">
        <v>4.9000000000000004</v>
      </c>
      <c r="G851" t="str">
        <f t="shared" si="40"/>
        <v>Low</v>
      </c>
      <c r="H851">
        <v>0.6</v>
      </c>
      <c r="I851">
        <v>3.17</v>
      </c>
      <c r="J851" s="1">
        <v>0</v>
      </c>
      <c r="K851" t="str">
        <f t="shared" si="41"/>
        <v>No activity</v>
      </c>
      <c r="L851" t="s">
        <v>13</v>
      </c>
      <c r="M851">
        <v>5</v>
      </c>
      <c r="N851">
        <v>6</v>
      </c>
      <c r="O851">
        <v>10</v>
      </c>
      <c r="P851">
        <v>0</v>
      </c>
    </row>
    <row r="852" spans="1:16" x14ac:dyDescent="0.25">
      <c r="A852">
        <v>15</v>
      </c>
      <c r="B852" t="s">
        <v>14</v>
      </c>
      <c r="C852">
        <v>2.7</v>
      </c>
      <c r="D852" t="str">
        <f t="shared" si="39"/>
        <v>Medium</v>
      </c>
      <c r="E852" t="s">
        <v>15</v>
      </c>
      <c r="F852" s="1">
        <v>7.6</v>
      </c>
      <c r="G852" t="str">
        <f t="shared" si="40"/>
        <v>Low</v>
      </c>
      <c r="H852">
        <v>2.5</v>
      </c>
      <c r="I852">
        <v>2.37</v>
      </c>
      <c r="J852" s="1">
        <v>1.9</v>
      </c>
      <c r="K852" t="str">
        <f t="shared" si="41"/>
        <v>1-2 hours</v>
      </c>
      <c r="L852" t="s">
        <v>16</v>
      </c>
      <c r="M852">
        <v>1</v>
      </c>
      <c r="N852">
        <v>8</v>
      </c>
      <c r="O852">
        <v>7</v>
      </c>
      <c r="P852">
        <v>0</v>
      </c>
    </row>
    <row r="853" spans="1:16" x14ac:dyDescent="0.25">
      <c r="A853">
        <v>19</v>
      </c>
      <c r="B853" t="s">
        <v>14</v>
      </c>
      <c r="C853">
        <v>1.9</v>
      </c>
      <c r="D853" t="str">
        <f t="shared" si="39"/>
        <v>Low</v>
      </c>
      <c r="E853" t="s">
        <v>18</v>
      </c>
      <c r="F853" s="1">
        <v>6.2</v>
      </c>
      <c r="G853" t="str">
        <f t="shared" si="40"/>
        <v>Low</v>
      </c>
      <c r="H853">
        <v>0.9</v>
      </c>
      <c r="I853">
        <v>2.4700000000000002</v>
      </c>
      <c r="J853" s="1">
        <v>1.4</v>
      </c>
      <c r="K853" t="str">
        <f t="shared" si="41"/>
        <v>1-2 hours</v>
      </c>
      <c r="L853" t="s">
        <v>13</v>
      </c>
      <c r="M853">
        <v>5</v>
      </c>
      <c r="N853">
        <v>6</v>
      </c>
      <c r="O853">
        <v>7</v>
      </c>
      <c r="P853">
        <v>0</v>
      </c>
    </row>
    <row r="854" spans="1:16" x14ac:dyDescent="0.25">
      <c r="A854">
        <v>14</v>
      </c>
      <c r="B854" t="s">
        <v>11</v>
      </c>
      <c r="C854">
        <v>1.5</v>
      </c>
      <c r="D854" t="str">
        <f t="shared" si="39"/>
        <v>Low</v>
      </c>
      <c r="E854" t="s">
        <v>18</v>
      </c>
      <c r="F854" s="1">
        <v>6.8</v>
      </c>
      <c r="G854" t="str">
        <f t="shared" si="40"/>
        <v>Low</v>
      </c>
      <c r="H854">
        <v>0.8</v>
      </c>
      <c r="I854">
        <v>3.14</v>
      </c>
      <c r="J854" s="1">
        <v>0</v>
      </c>
      <c r="K854" t="str">
        <f t="shared" si="41"/>
        <v>No activity</v>
      </c>
      <c r="L854" t="s">
        <v>17</v>
      </c>
      <c r="M854">
        <v>4</v>
      </c>
      <c r="N854">
        <v>5</v>
      </c>
      <c r="O854">
        <v>8</v>
      </c>
      <c r="P854">
        <v>0</v>
      </c>
    </row>
    <row r="855" spans="1:16" x14ac:dyDescent="0.25">
      <c r="A855">
        <v>17</v>
      </c>
      <c r="B855" t="s">
        <v>14</v>
      </c>
      <c r="C855">
        <v>2.6</v>
      </c>
      <c r="D855" t="str">
        <f t="shared" si="39"/>
        <v>Medium</v>
      </c>
      <c r="E855" t="s">
        <v>15</v>
      </c>
      <c r="F855" s="1">
        <v>4.8</v>
      </c>
      <c r="G855" t="str">
        <f t="shared" si="40"/>
        <v>Low</v>
      </c>
      <c r="H855">
        <v>0.7</v>
      </c>
      <c r="I855">
        <v>2.52</v>
      </c>
      <c r="J855" s="1">
        <v>1.8</v>
      </c>
      <c r="K855" t="str">
        <f t="shared" si="41"/>
        <v>1-2 hours</v>
      </c>
      <c r="L855" t="s">
        <v>17</v>
      </c>
      <c r="M855">
        <v>9</v>
      </c>
      <c r="N855">
        <v>6</v>
      </c>
      <c r="O855">
        <v>6</v>
      </c>
      <c r="P855">
        <v>0</v>
      </c>
    </row>
    <row r="856" spans="1:16" x14ac:dyDescent="0.25">
      <c r="A856">
        <v>16</v>
      </c>
      <c r="B856" t="s">
        <v>11</v>
      </c>
      <c r="C856">
        <v>1.2</v>
      </c>
      <c r="D856" t="str">
        <f t="shared" si="39"/>
        <v>Low</v>
      </c>
      <c r="E856" t="s">
        <v>12</v>
      </c>
      <c r="F856" s="1">
        <v>7.3</v>
      </c>
      <c r="G856" t="str">
        <f t="shared" si="40"/>
        <v>Low</v>
      </c>
      <c r="H856">
        <v>1</v>
      </c>
      <c r="I856">
        <v>2.36</v>
      </c>
      <c r="J856" s="1">
        <v>1.1000000000000001</v>
      </c>
      <c r="K856" t="str">
        <f t="shared" si="41"/>
        <v>1-2 hours</v>
      </c>
      <c r="L856" t="s">
        <v>17</v>
      </c>
      <c r="M856">
        <v>5</v>
      </c>
      <c r="N856">
        <v>3</v>
      </c>
      <c r="O856">
        <v>6</v>
      </c>
      <c r="P856">
        <v>0</v>
      </c>
    </row>
    <row r="857" spans="1:16" x14ac:dyDescent="0.25">
      <c r="A857">
        <v>18</v>
      </c>
      <c r="B857" t="s">
        <v>14</v>
      </c>
      <c r="C857">
        <v>1.8</v>
      </c>
      <c r="D857" t="str">
        <f t="shared" si="39"/>
        <v>Low</v>
      </c>
      <c r="E857" t="s">
        <v>18</v>
      </c>
      <c r="F857" s="1">
        <v>7.8</v>
      </c>
      <c r="G857" t="str">
        <f t="shared" si="40"/>
        <v>Low</v>
      </c>
      <c r="H857">
        <v>2</v>
      </c>
      <c r="I857">
        <v>2.67</v>
      </c>
      <c r="J857" s="1">
        <v>0.8</v>
      </c>
      <c r="K857" t="str">
        <f t="shared" si="41"/>
        <v>0-1 hours</v>
      </c>
      <c r="L857" t="s">
        <v>13</v>
      </c>
      <c r="M857">
        <v>4</v>
      </c>
      <c r="N857">
        <v>6</v>
      </c>
      <c r="O857">
        <v>3</v>
      </c>
      <c r="P857">
        <v>0</v>
      </c>
    </row>
    <row r="858" spans="1:16" x14ac:dyDescent="0.25">
      <c r="A858">
        <v>19</v>
      </c>
      <c r="B858" t="s">
        <v>11</v>
      </c>
      <c r="C858">
        <v>4.8</v>
      </c>
      <c r="D858" t="str">
        <f t="shared" si="39"/>
        <v>Medium</v>
      </c>
      <c r="E858" t="s">
        <v>18</v>
      </c>
      <c r="F858" s="1">
        <v>7.5</v>
      </c>
      <c r="G858" t="str">
        <f t="shared" si="40"/>
        <v>Low</v>
      </c>
      <c r="H858">
        <v>1</v>
      </c>
      <c r="I858">
        <v>2.68</v>
      </c>
      <c r="J858" s="1">
        <v>1.5</v>
      </c>
      <c r="K858" t="str">
        <f t="shared" si="41"/>
        <v>1-2 hours</v>
      </c>
      <c r="L858" t="s">
        <v>13</v>
      </c>
      <c r="M858">
        <v>9</v>
      </c>
      <c r="N858">
        <v>4</v>
      </c>
      <c r="O858">
        <v>6</v>
      </c>
      <c r="P858">
        <v>0</v>
      </c>
    </row>
    <row r="859" spans="1:16" x14ac:dyDescent="0.25">
      <c r="A859">
        <v>19</v>
      </c>
      <c r="B859" t="s">
        <v>11</v>
      </c>
      <c r="C859">
        <v>2.1</v>
      </c>
      <c r="D859" t="str">
        <f t="shared" si="39"/>
        <v>Medium</v>
      </c>
      <c r="E859" t="s">
        <v>18</v>
      </c>
      <c r="F859" s="1">
        <v>5.6</v>
      </c>
      <c r="G859" t="str">
        <f t="shared" si="40"/>
        <v>Low</v>
      </c>
      <c r="H859">
        <v>2.4</v>
      </c>
      <c r="I859">
        <v>3.56</v>
      </c>
      <c r="J859" s="1">
        <v>1</v>
      </c>
      <c r="K859" t="str">
        <f t="shared" si="41"/>
        <v>0-1 hours</v>
      </c>
      <c r="L859" t="s">
        <v>16</v>
      </c>
      <c r="M859">
        <v>9</v>
      </c>
      <c r="N859">
        <v>3</v>
      </c>
      <c r="O859">
        <v>4</v>
      </c>
      <c r="P859">
        <v>0</v>
      </c>
    </row>
    <row r="860" spans="1:16" x14ac:dyDescent="0.25">
      <c r="A860">
        <v>15</v>
      </c>
      <c r="B860" t="s">
        <v>11</v>
      </c>
      <c r="C860">
        <v>4.4000000000000004</v>
      </c>
      <c r="D860" t="str">
        <f t="shared" si="39"/>
        <v>Medium</v>
      </c>
      <c r="E860" t="s">
        <v>12</v>
      </c>
      <c r="F860" s="1">
        <v>6</v>
      </c>
      <c r="G860" t="str">
        <f t="shared" si="40"/>
        <v>Low</v>
      </c>
      <c r="H860">
        <v>0.5</v>
      </c>
      <c r="I860">
        <v>3.33</v>
      </c>
      <c r="J860" s="1">
        <v>0.7</v>
      </c>
      <c r="K860" t="str">
        <f t="shared" si="41"/>
        <v>0-1 hours</v>
      </c>
      <c r="L860" t="s">
        <v>17</v>
      </c>
      <c r="M860">
        <v>1</v>
      </c>
      <c r="N860">
        <v>6</v>
      </c>
      <c r="O860">
        <v>10</v>
      </c>
      <c r="P860">
        <v>0</v>
      </c>
    </row>
    <row r="861" spans="1:16" x14ac:dyDescent="0.25">
      <c r="A861">
        <v>14</v>
      </c>
      <c r="B861" t="s">
        <v>11</v>
      </c>
      <c r="C861">
        <v>2.8</v>
      </c>
      <c r="D861" t="str">
        <f t="shared" si="39"/>
        <v>Medium</v>
      </c>
      <c r="E861" t="s">
        <v>18</v>
      </c>
      <c r="F861" s="1">
        <v>4.3</v>
      </c>
      <c r="G861" t="str">
        <f t="shared" si="40"/>
        <v>Low</v>
      </c>
      <c r="H861">
        <v>3</v>
      </c>
      <c r="I861">
        <v>2.14</v>
      </c>
      <c r="J861" s="1">
        <v>1.9</v>
      </c>
      <c r="K861" t="str">
        <f t="shared" si="41"/>
        <v>1-2 hours</v>
      </c>
      <c r="L861" t="s">
        <v>17</v>
      </c>
      <c r="M861">
        <v>9</v>
      </c>
      <c r="N861">
        <v>3</v>
      </c>
      <c r="O861">
        <v>7</v>
      </c>
      <c r="P861">
        <v>0</v>
      </c>
    </row>
    <row r="862" spans="1:16" x14ac:dyDescent="0.25">
      <c r="A862">
        <v>15</v>
      </c>
      <c r="B862" t="s">
        <v>11</v>
      </c>
      <c r="C862">
        <v>3.5</v>
      </c>
      <c r="D862" t="str">
        <f t="shared" si="39"/>
        <v>Medium</v>
      </c>
      <c r="E862" t="s">
        <v>15</v>
      </c>
      <c r="F862" s="1">
        <v>4.5</v>
      </c>
      <c r="G862" t="str">
        <f t="shared" si="40"/>
        <v>Low</v>
      </c>
      <c r="H862">
        <v>2.7</v>
      </c>
      <c r="I862">
        <v>2.4700000000000002</v>
      </c>
      <c r="J862" s="1">
        <v>1.4</v>
      </c>
      <c r="K862" t="str">
        <f t="shared" si="41"/>
        <v>1-2 hours</v>
      </c>
      <c r="L862" t="s">
        <v>13</v>
      </c>
      <c r="M862">
        <v>1</v>
      </c>
      <c r="N862">
        <v>5</v>
      </c>
      <c r="O862">
        <v>10</v>
      </c>
      <c r="P862">
        <v>0</v>
      </c>
    </row>
    <row r="863" spans="1:16" x14ac:dyDescent="0.25">
      <c r="A863">
        <v>15</v>
      </c>
      <c r="B863" t="s">
        <v>11</v>
      </c>
      <c r="C863">
        <v>6.8</v>
      </c>
      <c r="D863" t="str">
        <f t="shared" si="39"/>
        <v>Medium</v>
      </c>
      <c r="E863" t="s">
        <v>18</v>
      </c>
      <c r="F863" s="1">
        <v>6.6</v>
      </c>
      <c r="G863" t="str">
        <f t="shared" si="40"/>
        <v>Low</v>
      </c>
      <c r="H863">
        <v>2.1</v>
      </c>
      <c r="I863">
        <v>3.43</v>
      </c>
      <c r="J863" s="1">
        <v>1.7</v>
      </c>
      <c r="K863" t="str">
        <f t="shared" si="41"/>
        <v>1-2 hours</v>
      </c>
      <c r="L863" t="s">
        <v>13</v>
      </c>
      <c r="M863">
        <v>10</v>
      </c>
      <c r="N863">
        <v>10</v>
      </c>
      <c r="O863">
        <v>8</v>
      </c>
      <c r="P863">
        <v>0</v>
      </c>
    </row>
    <row r="864" spans="1:16" x14ac:dyDescent="0.25">
      <c r="A864">
        <v>14</v>
      </c>
      <c r="B864" t="s">
        <v>11</v>
      </c>
      <c r="C864">
        <v>7</v>
      </c>
      <c r="D864" t="str">
        <f t="shared" si="39"/>
        <v>High</v>
      </c>
      <c r="E864" t="s">
        <v>12</v>
      </c>
      <c r="F864" s="1">
        <v>5.2</v>
      </c>
      <c r="G864" t="str">
        <f t="shared" si="40"/>
        <v>Low</v>
      </c>
      <c r="H864">
        <v>1.4</v>
      </c>
      <c r="I864">
        <v>3.27</v>
      </c>
      <c r="J864" s="1">
        <v>1.7</v>
      </c>
      <c r="K864" t="str">
        <f t="shared" si="41"/>
        <v>1-2 hours</v>
      </c>
      <c r="L864" t="s">
        <v>17</v>
      </c>
      <c r="M864">
        <v>5</v>
      </c>
      <c r="N864">
        <v>7</v>
      </c>
      <c r="O864">
        <v>8</v>
      </c>
      <c r="P864">
        <v>0</v>
      </c>
    </row>
    <row r="865" spans="1:16" x14ac:dyDescent="0.25">
      <c r="A865">
        <v>17</v>
      </c>
      <c r="B865" t="s">
        <v>14</v>
      </c>
      <c r="C865">
        <v>7.5</v>
      </c>
      <c r="D865" t="str">
        <f t="shared" si="39"/>
        <v>High</v>
      </c>
      <c r="E865" t="s">
        <v>18</v>
      </c>
      <c r="F865" s="1">
        <v>8.1</v>
      </c>
      <c r="G865" t="str">
        <f t="shared" si="40"/>
        <v>Normal</v>
      </c>
      <c r="H865">
        <v>2.8</v>
      </c>
      <c r="I865">
        <v>2.58</v>
      </c>
      <c r="J865" s="1">
        <v>0.5</v>
      </c>
      <c r="K865" t="str">
        <f t="shared" si="41"/>
        <v>0-1 hours</v>
      </c>
      <c r="L865" t="s">
        <v>17</v>
      </c>
      <c r="M865">
        <v>2</v>
      </c>
      <c r="N865">
        <v>2</v>
      </c>
      <c r="O865">
        <v>3</v>
      </c>
      <c r="P865">
        <v>0</v>
      </c>
    </row>
    <row r="866" spans="1:16" x14ac:dyDescent="0.25">
      <c r="A866">
        <v>17</v>
      </c>
      <c r="B866" t="s">
        <v>14</v>
      </c>
      <c r="C866">
        <v>2.5</v>
      </c>
      <c r="D866" t="str">
        <f t="shared" si="39"/>
        <v>Medium</v>
      </c>
      <c r="E866" t="s">
        <v>12</v>
      </c>
      <c r="F866" s="1">
        <v>4.4000000000000004</v>
      </c>
      <c r="G866" t="str">
        <f t="shared" si="40"/>
        <v>Low</v>
      </c>
      <c r="H866">
        <v>2</v>
      </c>
      <c r="I866">
        <v>3.29</v>
      </c>
      <c r="J866" s="1">
        <v>0.7</v>
      </c>
      <c r="K866" t="str">
        <f t="shared" si="41"/>
        <v>0-1 hours</v>
      </c>
      <c r="L866" t="s">
        <v>13</v>
      </c>
      <c r="M866">
        <v>4</v>
      </c>
      <c r="N866">
        <v>6</v>
      </c>
      <c r="O866">
        <v>5</v>
      </c>
      <c r="P866">
        <v>0</v>
      </c>
    </row>
    <row r="867" spans="1:16" x14ac:dyDescent="0.25">
      <c r="A867">
        <v>15</v>
      </c>
      <c r="B867" t="s">
        <v>11</v>
      </c>
      <c r="C867">
        <v>6.5</v>
      </c>
      <c r="D867" t="str">
        <f t="shared" si="39"/>
        <v>Medium</v>
      </c>
      <c r="E867" t="s">
        <v>15</v>
      </c>
      <c r="F867" s="1">
        <v>5.4</v>
      </c>
      <c r="G867" t="str">
        <f t="shared" si="40"/>
        <v>Low</v>
      </c>
      <c r="H867">
        <v>2.1</v>
      </c>
      <c r="I867">
        <v>3.44</v>
      </c>
      <c r="J867" s="1">
        <v>1.8</v>
      </c>
      <c r="K867" t="str">
        <f t="shared" si="41"/>
        <v>1-2 hours</v>
      </c>
      <c r="L867" t="s">
        <v>13</v>
      </c>
      <c r="M867">
        <v>7</v>
      </c>
      <c r="N867">
        <v>3</v>
      </c>
      <c r="O867">
        <v>6</v>
      </c>
      <c r="P867">
        <v>0</v>
      </c>
    </row>
    <row r="868" spans="1:16" x14ac:dyDescent="0.25">
      <c r="A868">
        <v>13</v>
      </c>
      <c r="B868" t="s">
        <v>11</v>
      </c>
      <c r="C868">
        <v>7.7</v>
      </c>
      <c r="D868" t="str">
        <f t="shared" si="39"/>
        <v>High</v>
      </c>
      <c r="E868" t="s">
        <v>12</v>
      </c>
      <c r="F868" s="1">
        <v>4.4000000000000004</v>
      </c>
      <c r="G868" t="str">
        <f t="shared" si="40"/>
        <v>Low</v>
      </c>
      <c r="H868">
        <v>2</v>
      </c>
      <c r="I868">
        <v>3.09</v>
      </c>
      <c r="J868" s="1">
        <v>1</v>
      </c>
      <c r="K868" t="str">
        <f t="shared" si="41"/>
        <v>0-1 hours</v>
      </c>
      <c r="L868" t="s">
        <v>16</v>
      </c>
      <c r="M868">
        <v>8</v>
      </c>
      <c r="N868">
        <v>7</v>
      </c>
      <c r="O868">
        <v>8</v>
      </c>
      <c r="P868">
        <v>1</v>
      </c>
    </row>
    <row r="869" spans="1:16" x14ac:dyDescent="0.25">
      <c r="A869">
        <v>18</v>
      </c>
      <c r="B869" t="s">
        <v>14</v>
      </c>
      <c r="C869">
        <v>3.2</v>
      </c>
      <c r="D869" t="str">
        <f t="shared" si="39"/>
        <v>Medium</v>
      </c>
      <c r="E869" t="s">
        <v>18</v>
      </c>
      <c r="F869" s="1">
        <v>7.8</v>
      </c>
      <c r="G869" t="str">
        <f t="shared" si="40"/>
        <v>Low</v>
      </c>
      <c r="H869">
        <v>0.7</v>
      </c>
      <c r="I869">
        <v>3.46</v>
      </c>
      <c r="J869" s="1">
        <v>1.3</v>
      </c>
      <c r="K869" t="str">
        <f t="shared" si="41"/>
        <v>1-2 hours</v>
      </c>
      <c r="L869" t="s">
        <v>13</v>
      </c>
      <c r="M869">
        <v>5</v>
      </c>
      <c r="N869">
        <v>10</v>
      </c>
      <c r="O869">
        <v>6</v>
      </c>
      <c r="P869">
        <v>0</v>
      </c>
    </row>
    <row r="870" spans="1:16" x14ac:dyDescent="0.25">
      <c r="A870">
        <v>16</v>
      </c>
      <c r="B870" t="s">
        <v>14</v>
      </c>
      <c r="C870">
        <v>5.3</v>
      </c>
      <c r="D870" t="str">
        <f t="shared" si="39"/>
        <v>Medium</v>
      </c>
      <c r="E870" t="s">
        <v>15</v>
      </c>
      <c r="F870" s="1">
        <v>4.3</v>
      </c>
      <c r="G870" t="str">
        <f t="shared" si="40"/>
        <v>Low</v>
      </c>
      <c r="H870">
        <v>1.5</v>
      </c>
      <c r="I870">
        <v>2.54</v>
      </c>
      <c r="J870" s="1">
        <v>0.3</v>
      </c>
      <c r="K870" t="str">
        <f t="shared" si="41"/>
        <v>0-1 hours</v>
      </c>
      <c r="L870" t="s">
        <v>16</v>
      </c>
      <c r="M870">
        <v>7</v>
      </c>
      <c r="N870">
        <v>7</v>
      </c>
      <c r="O870">
        <v>10</v>
      </c>
      <c r="P870">
        <v>1</v>
      </c>
    </row>
    <row r="871" spans="1:16" x14ac:dyDescent="0.25">
      <c r="A871">
        <v>14</v>
      </c>
      <c r="B871" t="s">
        <v>11</v>
      </c>
      <c r="C871">
        <v>5</v>
      </c>
      <c r="D871" t="str">
        <f t="shared" si="39"/>
        <v>Medium</v>
      </c>
      <c r="E871" t="s">
        <v>15</v>
      </c>
      <c r="F871" s="1">
        <v>5.2</v>
      </c>
      <c r="G871" t="str">
        <f t="shared" si="40"/>
        <v>Low</v>
      </c>
      <c r="H871">
        <v>0.5</v>
      </c>
      <c r="I871">
        <v>3.55</v>
      </c>
      <c r="J871" s="1">
        <v>0.4</v>
      </c>
      <c r="K871" t="str">
        <f t="shared" si="41"/>
        <v>0-1 hours</v>
      </c>
      <c r="L871" t="s">
        <v>13</v>
      </c>
      <c r="M871">
        <v>10</v>
      </c>
      <c r="N871">
        <v>6</v>
      </c>
      <c r="O871">
        <v>8</v>
      </c>
      <c r="P871">
        <v>0</v>
      </c>
    </row>
    <row r="872" spans="1:16" x14ac:dyDescent="0.25">
      <c r="A872">
        <v>19</v>
      </c>
      <c r="B872" t="s">
        <v>11</v>
      </c>
      <c r="C872">
        <v>6.1</v>
      </c>
      <c r="D872" t="str">
        <f t="shared" si="39"/>
        <v>Medium</v>
      </c>
      <c r="E872" t="s">
        <v>12</v>
      </c>
      <c r="F872" s="1">
        <v>7.1</v>
      </c>
      <c r="G872" t="str">
        <f t="shared" si="40"/>
        <v>Low</v>
      </c>
      <c r="H872">
        <v>2.2999999999999998</v>
      </c>
      <c r="I872">
        <v>3.22</v>
      </c>
      <c r="J872" s="1">
        <v>0.5</v>
      </c>
      <c r="K872" t="str">
        <f t="shared" si="41"/>
        <v>0-1 hours</v>
      </c>
      <c r="L872" t="s">
        <v>13</v>
      </c>
      <c r="M872">
        <v>4</v>
      </c>
      <c r="N872">
        <v>3</v>
      </c>
      <c r="O872">
        <v>7</v>
      </c>
      <c r="P872">
        <v>0</v>
      </c>
    </row>
    <row r="873" spans="1:16" x14ac:dyDescent="0.25">
      <c r="A873">
        <v>17</v>
      </c>
      <c r="B873" t="s">
        <v>11</v>
      </c>
      <c r="C873">
        <v>4.2</v>
      </c>
      <c r="D873" t="str">
        <f t="shared" si="39"/>
        <v>Medium</v>
      </c>
      <c r="E873" t="s">
        <v>15</v>
      </c>
      <c r="F873" s="1">
        <v>7.3</v>
      </c>
      <c r="G873" t="str">
        <f t="shared" si="40"/>
        <v>Low</v>
      </c>
      <c r="H873">
        <v>2.6</v>
      </c>
      <c r="I873">
        <v>3.2</v>
      </c>
      <c r="J873" s="1">
        <v>0.2</v>
      </c>
      <c r="K873" t="str">
        <f t="shared" si="41"/>
        <v>0-1 hours</v>
      </c>
      <c r="L873" t="s">
        <v>16</v>
      </c>
      <c r="M873">
        <v>7</v>
      </c>
      <c r="N873">
        <v>1</v>
      </c>
      <c r="O873">
        <v>3</v>
      </c>
      <c r="P873">
        <v>0</v>
      </c>
    </row>
    <row r="874" spans="1:16" x14ac:dyDescent="0.25">
      <c r="A874">
        <v>15</v>
      </c>
      <c r="B874" t="s">
        <v>11</v>
      </c>
      <c r="C874">
        <v>4.7</v>
      </c>
      <c r="D874" t="str">
        <f t="shared" si="39"/>
        <v>Medium</v>
      </c>
      <c r="E874" t="s">
        <v>12</v>
      </c>
      <c r="F874" s="1">
        <v>8.1999999999999993</v>
      </c>
      <c r="G874" t="str">
        <f t="shared" si="40"/>
        <v>Normal</v>
      </c>
      <c r="H874">
        <v>2.2999999999999998</v>
      </c>
      <c r="I874">
        <v>3.35</v>
      </c>
      <c r="J874" s="1">
        <v>0.6</v>
      </c>
      <c r="K874" t="str">
        <f t="shared" si="41"/>
        <v>0-1 hours</v>
      </c>
      <c r="L874" t="s">
        <v>13</v>
      </c>
      <c r="M874">
        <v>6</v>
      </c>
      <c r="N874">
        <v>2</v>
      </c>
      <c r="O874">
        <v>5</v>
      </c>
      <c r="P874">
        <v>0</v>
      </c>
    </row>
    <row r="875" spans="1:16" x14ac:dyDescent="0.25">
      <c r="A875">
        <v>18</v>
      </c>
      <c r="B875" t="s">
        <v>11</v>
      </c>
      <c r="C875">
        <v>1.6</v>
      </c>
      <c r="D875" t="str">
        <f t="shared" si="39"/>
        <v>Low</v>
      </c>
      <c r="E875" t="s">
        <v>15</v>
      </c>
      <c r="F875" s="1">
        <v>5.8</v>
      </c>
      <c r="G875" t="str">
        <f t="shared" si="40"/>
        <v>Low</v>
      </c>
      <c r="H875">
        <v>0.6</v>
      </c>
      <c r="I875">
        <v>3.63</v>
      </c>
      <c r="J875" s="1">
        <v>1.1000000000000001</v>
      </c>
      <c r="K875" t="str">
        <f t="shared" si="41"/>
        <v>1-2 hours</v>
      </c>
      <c r="L875" t="s">
        <v>16</v>
      </c>
      <c r="M875">
        <v>6</v>
      </c>
      <c r="N875">
        <v>9</v>
      </c>
      <c r="O875">
        <v>7</v>
      </c>
      <c r="P875">
        <v>0</v>
      </c>
    </row>
    <row r="876" spans="1:16" x14ac:dyDescent="0.25">
      <c r="A876">
        <v>14</v>
      </c>
      <c r="B876" t="s">
        <v>14</v>
      </c>
      <c r="C876">
        <v>1.7</v>
      </c>
      <c r="D876" t="str">
        <f t="shared" si="39"/>
        <v>Low</v>
      </c>
      <c r="E876" t="s">
        <v>15</v>
      </c>
      <c r="F876" s="1">
        <v>6.5</v>
      </c>
      <c r="G876" t="str">
        <f t="shared" si="40"/>
        <v>Low</v>
      </c>
      <c r="H876">
        <v>2.7</v>
      </c>
      <c r="I876">
        <v>2.06</v>
      </c>
      <c r="J876" s="1">
        <v>0.1</v>
      </c>
      <c r="K876" t="str">
        <f t="shared" si="41"/>
        <v>0-1 hours</v>
      </c>
      <c r="L876" t="s">
        <v>17</v>
      </c>
      <c r="M876">
        <v>9</v>
      </c>
      <c r="N876">
        <v>5</v>
      </c>
      <c r="O876">
        <v>9</v>
      </c>
      <c r="P876">
        <v>0</v>
      </c>
    </row>
    <row r="877" spans="1:16" x14ac:dyDescent="0.25">
      <c r="A877">
        <v>18</v>
      </c>
      <c r="B877" t="s">
        <v>11</v>
      </c>
      <c r="C877">
        <v>4.5999999999999996</v>
      </c>
      <c r="D877" t="str">
        <f t="shared" si="39"/>
        <v>Medium</v>
      </c>
      <c r="E877" t="s">
        <v>12</v>
      </c>
      <c r="F877" s="1">
        <v>4.0999999999999996</v>
      </c>
      <c r="G877" t="str">
        <f t="shared" si="40"/>
        <v>Low</v>
      </c>
      <c r="H877">
        <v>1.4</v>
      </c>
      <c r="I877">
        <v>2.2799999999999998</v>
      </c>
      <c r="J877" s="1">
        <v>0.4</v>
      </c>
      <c r="K877" t="str">
        <f t="shared" si="41"/>
        <v>0-1 hours</v>
      </c>
      <c r="L877" t="s">
        <v>17</v>
      </c>
      <c r="M877">
        <v>4</v>
      </c>
      <c r="N877">
        <v>10</v>
      </c>
      <c r="O877">
        <v>10</v>
      </c>
      <c r="P877">
        <v>0</v>
      </c>
    </row>
    <row r="878" spans="1:16" x14ac:dyDescent="0.25">
      <c r="A878">
        <v>13</v>
      </c>
      <c r="B878" t="s">
        <v>14</v>
      </c>
      <c r="C878">
        <v>2.5</v>
      </c>
      <c r="D878" t="str">
        <f t="shared" si="39"/>
        <v>Medium</v>
      </c>
      <c r="E878" t="s">
        <v>15</v>
      </c>
      <c r="F878" s="1">
        <v>6.8</v>
      </c>
      <c r="G878" t="str">
        <f t="shared" si="40"/>
        <v>Low</v>
      </c>
      <c r="H878">
        <v>2.8</v>
      </c>
      <c r="I878">
        <v>2.77</v>
      </c>
      <c r="J878" s="1">
        <v>0.5</v>
      </c>
      <c r="K878" t="str">
        <f t="shared" si="41"/>
        <v>0-1 hours</v>
      </c>
      <c r="L878" t="s">
        <v>13</v>
      </c>
      <c r="M878">
        <v>2</v>
      </c>
      <c r="N878">
        <v>6</v>
      </c>
      <c r="O878">
        <v>10</v>
      </c>
      <c r="P878">
        <v>0</v>
      </c>
    </row>
    <row r="879" spans="1:16" x14ac:dyDescent="0.25">
      <c r="A879">
        <v>16</v>
      </c>
      <c r="B879" t="s">
        <v>14</v>
      </c>
      <c r="C879">
        <v>4.2</v>
      </c>
      <c r="D879" t="str">
        <f t="shared" si="39"/>
        <v>Medium</v>
      </c>
      <c r="E879" t="s">
        <v>15</v>
      </c>
      <c r="F879" s="1">
        <v>6.3</v>
      </c>
      <c r="G879" t="str">
        <f t="shared" si="40"/>
        <v>Low</v>
      </c>
      <c r="H879">
        <v>1.2</v>
      </c>
      <c r="I879">
        <v>3.72</v>
      </c>
      <c r="J879" s="1">
        <v>1.9</v>
      </c>
      <c r="K879" t="str">
        <f t="shared" si="41"/>
        <v>1-2 hours</v>
      </c>
      <c r="L879" t="s">
        <v>13</v>
      </c>
      <c r="M879">
        <v>5</v>
      </c>
      <c r="N879">
        <v>3</v>
      </c>
      <c r="O879">
        <v>7</v>
      </c>
      <c r="P879">
        <v>0</v>
      </c>
    </row>
    <row r="880" spans="1:16" x14ac:dyDescent="0.25">
      <c r="A880">
        <v>19</v>
      </c>
      <c r="B880" t="s">
        <v>14</v>
      </c>
      <c r="C880">
        <v>1.2</v>
      </c>
      <c r="D880" t="str">
        <f t="shared" si="39"/>
        <v>Low</v>
      </c>
      <c r="E880" t="s">
        <v>15</v>
      </c>
      <c r="F880" s="1">
        <v>4.8</v>
      </c>
      <c r="G880" t="str">
        <f t="shared" si="40"/>
        <v>Low</v>
      </c>
      <c r="H880">
        <v>1.7</v>
      </c>
      <c r="I880">
        <v>2.16</v>
      </c>
      <c r="J880" s="1">
        <v>0.6</v>
      </c>
      <c r="K880" t="str">
        <f t="shared" si="41"/>
        <v>0-1 hours</v>
      </c>
      <c r="L880" t="s">
        <v>17</v>
      </c>
      <c r="M880">
        <v>10</v>
      </c>
      <c r="N880">
        <v>10</v>
      </c>
      <c r="O880">
        <v>10</v>
      </c>
      <c r="P880">
        <v>0</v>
      </c>
    </row>
    <row r="881" spans="1:16" x14ac:dyDescent="0.25">
      <c r="A881">
        <v>15</v>
      </c>
      <c r="B881" t="s">
        <v>11</v>
      </c>
      <c r="C881">
        <v>2.7</v>
      </c>
      <c r="D881" t="str">
        <f t="shared" si="39"/>
        <v>Medium</v>
      </c>
      <c r="E881" t="s">
        <v>12</v>
      </c>
      <c r="F881" s="1">
        <v>7.2</v>
      </c>
      <c r="G881" t="str">
        <f t="shared" si="40"/>
        <v>Low</v>
      </c>
      <c r="H881">
        <v>2.9</v>
      </c>
      <c r="I881">
        <v>3.27</v>
      </c>
      <c r="J881" s="1">
        <v>0.8</v>
      </c>
      <c r="K881" t="str">
        <f t="shared" si="41"/>
        <v>0-1 hours</v>
      </c>
      <c r="L881" t="s">
        <v>17</v>
      </c>
      <c r="M881">
        <v>5</v>
      </c>
      <c r="N881">
        <v>2</v>
      </c>
      <c r="O881">
        <v>9</v>
      </c>
      <c r="P881">
        <v>0</v>
      </c>
    </row>
    <row r="882" spans="1:16" x14ac:dyDescent="0.25">
      <c r="A882">
        <v>13</v>
      </c>
      <c r="B882" t="s">
        <v>11</v>
      </c>
      <c r="C882">
        <v>1.5</v>
      </c>
      <c r="D882" t="str">
        <f t="shared" si="39"/>
        <v>Low</v>
      </c>
      <c r="E882" t="s">
        <v>18</v>
      </c>
      <c r="F882" s="1">
        <v>5.2</v>
      </c>
      <c r="G882" t="str">
        <f t="shared" si="40"/>
        <v>Low</v>
      </c>
      <c r="H882">
        <v>0.8</v>
      </c>
      <c r="I882">
        <v>2.16</v>
      </c>
      <c r="J882" s="1">
        <v>0.9</v>
      </c>
      <c r="K882" t="str">
        <f t="shared" si="41"/>
        <v>0-1 hours</v>
      </c>
      <c r="L882" t="s">
        <v>17</v>
      </c>
      <c r="M882">
        <v>10</v>
      </c>
      <c r="N882">
        <v>6</v>
      </c>
      <c r="O882">
        <v>8</v>
      </c>
      <c r="P882">
        <v>0</v>
      </c>
    </row>
    <row r="883" spans="1:16" x14ac:dyDescent="0.25">
      <c r="A883">
        <v>15</v>
      </c>
      <c r="B883" t="s">
        <v>11</v>
      </c>
      <c r="C883">
        <v>3.2</v>
      </c>
      <c r="D883" t="str">
        <f t="shared" si="39"/>
        <v>Medium</v>
      </c>
      <c r="E883" t="s">
        <v>12</v>
      </c>
      <c r="F883" s="1">
        <v>5.6</v>
      </c>
      <c r="G883" t="str">
        <f t="shared" si="40"/>
        <v>Low</v>
      </c>
      <c r="H883">
        <v>0.7</v>
      </c>
      <c r="I883">
        <v>3.1</v>
      </c>
      <c r="J883" s="1">
        <v>1.5</v>
      </c>
      <c r="K883" t="str">
        <f t="shared" si="41"/>
        <v>1-2 hours</v>
      </c>
      <c r="L883" t="s">
        <v>16</v>
      </c>
      <c r="M883">
        <v>6</v>
      </c>
      <c r="N883">
        <v>3</v>
      </c>
      <c r="O883">
        <v>1</v>
      </c>
      <c r="P883">
        <v>0</v>
      </c>
    </row>
    <row r="884" spans="1:16" x14ac:dyDescent="0.25">
      <c r="A884">
        <v>19</v>
      </c>
      <c r="B884" t="s">
        <v>14</v>
      </c>
      <c r="C884">
        <v>7.3</v>
      </c>
      <c r="D884" t="str">
        <f t="shared" si="39"/>
        <v>High</v>
      </c>
      <c r="E884" t="s">
        <v>18</v>
      </c>
      <c r="F884" s="1">
        <v>7.4</v>
      </c>
      <c r="G884" t="str">
        <f t="shared" si="40"/>
        <v>Low</v>
      </c>
      <c r="H884">
        <v>1.5</v>
      </c>
      <c r="I884">
        <v>2.84</v>
      </c>
      <c r="J884" s="1">
        <v>1</v>
      </c>
      <c r="K884" t="str">
        <f t="shared" si="41"/>
        <v>0-1 hours</v>
      </c>
      <c r="L884" t="s">
        <v>17</v>
      </c>
      <c r="M884">
        <v>9</v>
      </c>
      <c r="N884">
        <v>8</v>
      </c>
      <c r="O884">
        <v>5</v>
      </c>
      <c r="P884">
        <v>0</v>
      </c>
    </row>
    <row r="885" spans="1:16" x14ac:dyDescent="0.25">
      <c r="A885">
        <v>16</v>
      </c>
      <c r="B885" t="s">
        <v>11</v>
      </c>
      <c r="C885">
        <v>2</v>
      </c>
      <c r="D885" t="str">
        <f t="shared" si="39"/>
        <v>Medium</v>
      </c>
      <c r="E885" t="s">
        <v>12</v>
      </c>
      <c r="F885" s="1">
        <v>8.1999999999999993</v>
      </c>
      <c r="G885" t="str">
        <f t="shared" si="40"/>
        <v>Normal</v>
      </c>
      <c r="H885">
        <v>1</v>
      </c>
      <c r="I885">
        <v>3.15</v>
      </c>
      <c r="J885" s="1">
        <v>0.9</v>
      </c>
      <c r="K885" t="str">
        <f t="shared" si="41"/>
        <v>0-1 hours</v>
      </c>
      <c r="L885" t="s">
        <v>17</v>
      </c>
      <c r="M885">
        <v>9</v>
      </c>
      <c r="N885">
        <v>7</v>
      </c>
      <c r="O885">
        <v>10</v>
      </c>
      <c r="P885">
        <v>0</v>
      </c>
    </row>
    <row r="886" spans="1:16" x14ac:dyDescent="0.25">
      <c r="A886">
        <v>19</v>
      </c>
      <c r="B886" t="s">
        <v>11</v>
      </c>
      <c r="C886">
        <v>2.5</v>
      </c>
      <c r="D886" t="str">
        <f t="shared" si="39"/>
        <v>Medium</v>
      </c>
      <c r="E886" t="s">
        <v>15</v>
      </c>
      <c r="F886" s="1">
        <v>7.1</v>
      </c>
      <c r="G886" t="str">
        <f t="shared" si="40"/>
        <v>Low</v>
      </c>
      <c r="H886">
        <v>1.9</v>
      </c>
      <c r="I886">
        <v>2.35</v>
      </c>
      <c r="J886" s="1">
        <v>1.1000000000000001</v>
      </c>
      <c r="K886" t="str">
        <f t="shared" si="41"/>
        <v>1-2 hours</v>
      </c>
      <c r="L886" t="s">
        <v>13</v>
      </c>
      <c r="M886">
        <v>4</v>
      </c>
      <c r="N886">
        <v>4</v>
      </c>
      <c r="O886">
        <v>8</v>
      </c>
      <c r="P886">
        <v>0</v>
      </c>
    </row>
    <row r="887" spans="1:16" x14ac:dyDescent="0.25">
      <c r="A887">
        <v>16</v>
      </c>
      <c r="B887" t="s">
        <v>14</v>
      </c>
      <c r="C887">
        <v>7.7</v>
      </c>
      <c r="D887" t="str">
        <f t="shared" si="39"/>
        <v>High</v>
      </c>
      <c r="E887" t="s">
        <v>12</v>
      </c>
      <c r="F887" s="1">
        <v>4.7</v>
      </c>
      <c r="G887" t="str">
        <f t="shared" si="40"/>
        <v>Low</v>
      </c>
      <c r="H887">
        <v>2.9</v>
      </c>
      <c r="I887">
        <v>2.17</v>
      </c>
      <c r="J887" s="1">
        <v>1.2</v>
      </c>
      <c r="K887" t="str">
        <f t="shared" si="41"/>
        <v>1-2 hours</v>
      </c>
      <c r="L887" t="s">
        <v>17</v>
      </c>
      <c r="M887">
        <v>5</v>
      </c>
      <c r="N887">
        <v>7</v>
      </c>
      <c r="O887">
        <v>6</v>
      </c>
      <c r="P887">
        <v>0</v>
      </c>
    </row>
    <row r="888" spans="1:16" x14ac:dyDescent="0.25">
      <c r="A888">
        <v>19</v>
      </c>
      <c r="B888" t="s">
        <v>14</v>
      </c>
      <c r="C888">
        <v>3.9</v>
      </c>
      <c r="D888" t="str">
        <f t="shared" si="39"/>
        <v>Medium</v>
      </c>
      <c r="E888" t="s">
        <v>18</v>
      </c>
      <c r="F888" s="1">
        <v>7.9</v>
      </c>
      <c r="G888" t="str">
        <f t="shared" si="40"/>
        <v>Low</v>
      </c>
      <c r="H888">
        <v>2.1</v>
      </c>
      <c r="I888">
        <v>3.52</v>
      </c>
      <c r="J888" s="1">
        <v>0.6</v>
      </c>
      <c r="K888" t="str">
        <f t="shared" si="41"/>
        <v>0-1 hours</v>
      </c>
      <c r="L888" t="s">
        <v>16</v>
      </c>
      <c r="M888">
        <v>3</v>
      </c>
      <c r="N888">
        <v>2</v>
      </c>
      <c r="O888">
        <v>4</v>
      </c>
      <c r="P888">
        <v>0</v>
      </c>
    </row>
    <row r="889" spans="1:16" x14ac:dyDescent="0.25">
      <c r="A889">
        <v>16</v>
      </c>
      <c r="B889" t="s">
        <v>14</v>
      </c>
      <c r="C889">
        <v>3.5</v>
      </c>
      <c r="D889" t="str">
        <f t="shared" si="39"/>
        <v>Medium</v>
      </c>
      <c r="E889" t="s">
        <v>15</v>
      </c>
      <c r="F889" s="1">
        <v>6.1</v>
      </c>
      <c r="G889" t="str">
        <f t="shared" si="40"/>
        <v>Low</v>
      </c>
      <c r="H889">
        <v>2.7</v>
      </c>
      <c r="I889">
        <v>3.83</v>
      </c>
      <c r="J889" s="1">
        <v>0.1</v>
      </c>
      <c r="K889" t="str">
        <f t="shared" si="41"/>
        <v>0-1 hours</v>
      </c>
      <c r="L889" t="s">
        <v>17</v>
      </c>
      <c r="M889">
        <v>4</v>
      </c>
      <c r="N889">
        <v>5</v>
      </c>
      <c r="O889">
        <v>10</v>
      </c>
      <c r="P889">
        <v>0</v>
      </c>
    </row>
    <row r="890" spans="1:16" x14ac:dyDescent="0.25">
      <c r="A890">
        <v>17</v>
      </c>
      <c r="B890" t="s">
        <v>11</v>
      </c>
      <c r="C890">
        <v>4.9000000000000004</v>
      </c>
      <c r="D890" t="str">
        <f t="shared" si="39"/>
        <v>Medium</v>
      </c>
      <c r="E890" t="s">
        <v>12</v>
      </c>
      <c r="F890" s="1">
        <v>6.4</v>
      </c>
      <c r="G890" t="str">
        <f t="shared" si="40"/>
        <v>Low</v>
      </c>
      <c r="H890">
        <v>2.5</v>
      </c>
      <c r="I890">
        <v>2.64</v>
      </c>
      <c r="J890" s="1">
        <v>1.9</v>
      </c>
      <c r="K890" t="str">
        <f t="shared" si="41"/>
        <v>1-2 hours</v>
      </c>
      <c r="L890" t="s">
        <v>17</v>
      </c>
      <c r="M890">
        <v>6</v>
      </c>
      <c r="N890">
        <v>2</v>
      </c>
      <c r="O890">
        <v>10</v>
      </c>
      <c r="P890">
        <v>0</v>
      </c>
    </row>
    <row r="891" spans="1:16" x14ac:dyDescent="0.25">
      <c r="A891">
        <v>14</v>
      </c>
      <c r="B891" t="s">
        <v>11</v>
      </c>
      <c r="C891">
        <v>3.4</v>
      </c>
      <c r="D891" t="str">
        <f t="shared" si="39"/>
        <v>Medium</v>
      </c>
      <c r="E891" t="s">
        <v>18</v>
      </c>
      <c r="F891" s="1">
        <v>5.8</v>
      </c>
      <c r="G891" t="str">
        <f t="shared" si="40"/>
        <v>Low</v>
      </c>
      <c r="H891">
        <v>3</v>
      </c>
      <c r="I891">
        <v>3.32</v>
      </c>
      <c r="J891" s="1">
        <v>0.6</v>
      </c>
      <c r="K891" t="str">
        <f t="shared" si="41"/>
        <v>0-1 hours</v>
      </c>
      <c r="L891" t="s">
        <v>17</v>
      </c>
      <c r="M891">
        <v>1</v>
      </c>
      <c r="N891">
        <v>4</v>
      </c>
      <c r="O891">
        <v>4</v>
      </c>
      <c r="P891">
        <v>0</v>
      </c>
    </row>
    <row r="892" spans="1:16" x14ac:dyDescent="0.25">
      <c r="A892">
        <v>18</v>
      </c>
      <c r="B892" t="s">
        <v>11</v>
      </c>
      <c r="C892">
        <v>2.5</v>
      </c>
      <c r="D892" t="str">
        <f t="shared" si="39"/>
        <v>Medium</v>
      </c>
      <c r="E892" t="s">
        <v>15</v>
      </c>
      <c r="F892" s="1">
        <v>4.5999999999999996</v>
      </c>
      <c r="G892" t="str">
        <f t="shared" si="40"/>
        <v>Low</v>
      </c>
      <c r="H892">
        <v>2.2000000000000002</v>
      </c>
      <c r="I892">
        <v>2.0499999999999998</v>
      </c>
      <c r="J892" s="1">
        <v>0.7</v>
      </c>
      <c r="K892" t="str">
        <f t="shared" si="41"/>
        <v>0-1 hours</v>
      </c>
      <c r="L892" t="s">
        <v>17</v>
      </c>
      <c r="M892">
        <v>9</v>
      </c>
      <c r="N892">
        <v>5</v>
      </c>
      <c r="O892">
        <v>10</v>
      </c>
      <c r="P892">
        <v>0</v>
      </c>
    </row>
    <row r="893" spans="1:16" x14ac:dyDescent="0.25">
      <c r="A893">
        <v>16</v>
      </c>
      <c r="B893" t="s">
        <v>11</v>
      </c>
      <c r="C893">
        <v>4.8</v>
      </c>
      <c r="D893" t="str">
        <f t="shared" si="39"/>
        <v>Medium</v>
      </c>
      <c r="E893" t="s">
        <v>18</v>
      </c>
      <c r="F893" s="1">
        <v>5.4</v>
      </c>
      <c r="G893" t="str">
        <f t="shared" si="40"/>
        <v>Low</v>
      </c>
      <c r="H893">
        <v>0.9</v>
      </c>
      <c r="I893">
        <v>2.06</v>
      </c>
      <c r="J893" s="1">
        <v>1.9</v>
      </c>
      <c r="K893" t="str">
        <f t="shared" si="41"/>
        <v>1-2 hours</v>
      </c>
      <c r="L893" t="s">
        <v>13</v>
      </c>
      <c r="M893">
        <v>8</v>
      </c>
      <c r="N893">
        <v>3</v>
      </c>
      <c r="O893">
        <v>2</v>
      </c>
      <c r="P893">
        <v>0</v>
      </c>
    </row>
    <row r="894" spans="1:16" x14ac:dyDescent="0.25">
      <c r="A894">
        <v>19</v>
      </c>
      <c r="B894" t="s">
        <v>11</v>
      </c>
      <c r="C894">
        <v>7.4</v>
      </c>
      <c r="D894" t="str">
        <f t="shared" si="39"/>
        <v>High</v>
      </c>
      <c r="E894" t="s">
        <v>15</v>
      </c>
      <c r="F894" s="1">
        <v>6.1</v>
      </c>
      <c r="G894" t="str">
        <f t="shared" si="40"/>
        <v>Low</v>
      </c>
      <c r="H894">
        <v>1.1000000000000001</v>
      </c>
      <c r="I894">
        <v>2.15</v>
      </c>
      <c r="J894" s="1">
        <v>1.6</v>
      </c>
      <c r="K894" t="str">
        <f t="shared" si="41"/>
        <v>1-2 hours</v>
      </c>
      <c r="L894" t="s">
        <v>16</v>
      </c>
      <c r="M894">
        <v>4</v>
      </c>
      <c r="N894">
        <v>4</v>
      </c>
      <c r="O894">
        <v>1</v>
      </c>
      <c r="P894">
        <v>0</v>
      </c>
    </row>
    <row r="895" spans="1:16" x14ac:dyDescent="0.25">
      <c r="A895">
        <v>16</v>
      </c>
      <c r="B895" t="s">
        <v>14</v>
      </c>
      <c r="C895">
        <v>2.1</v>
      </c>
      <c r="D895" t="str">
        <f t="shared" si="39"/>
        <v>Medium</v>
      </c>
      <c r="E895" t="s">
        <v>12</v>
      </c>
      <c r="F895" s="1">
        <v>4.8</v>
      </c>
      <c r="G895" t="str">
        <f t="shared" si="40"/>
        <v>Low</v>
      </c>
      <c r="H895">
        <v>1.3</v>
      </c>
      <c r="I895">
        <v>2.29</v>
      </c>
      <c r="J895" s="1">
        <v>1.8</v>
      </c>
      <c r="K895" t="str">
        <f t="shared" si="41"/>
        <v>1-2 hours</v>
      </c>
      <c r="L895" t="s">
        <v>16</v>
      </c>
      <c r="M895">
        <v>6</v>
      </c>
      <c r="N895">
        <v>9</v>
      </c>
      <c r="O895">
        <v>2</v>
      </c>
      <c r="P895">
        <v>0</v>
      </c>
    </row>
    <row r="896" spans="1:16" x14ac:dyDescent="0.25">
      <c r="A896">
        <v>19</v>
      </c>
      <c r="B896" t="s">
        <v>11</v>
      </c>
      <c r="C896">
        <v>2.1</v>
      </c>
      <c r="D896" t="str">
        <f t="shared" si="39"/>
        <v>Medium</v>
      </c>
      <c r="E896" t="s">
        <v>15</v>
      </c>
      <c r="F896" s="1">
        <v>6.8</v>
      </c>
      <c r="G896" t="str">
        <f t="shared" si="40"/>
        <v>Low</v>
      </c>
      <c r="H896">
        <v>2.2000000000000002</v>
      </c>
      <c r="I896">
        <v>2.33</v>
      </c>
      <c r="J896" s="1">
        <v>1</v>
      </c>
      <c r="K896" t="str">
        <f t="shared" si="41"/>
        <v>0-1 hours</v>
      </c>
      <c r="L896" t="s">
        <v>17</v>
      </c>
      <c r="M896">
        <v>7</v>
      </c>
      <c r="N896">
        <v>6</v>
      </c>
      <c r="O896">
        <v>7</v>
      </c>
      <c r="P896">
        <v>0</v>
      </c>
    </row>
    <row r="897" spans="1:16" x14ac:dyDescent="0.25">
      <c r="A897">
        <v>16</v>
      </c>
      <c r="B897" t="s">
        <v>11</v>
      </c>
      <c r="C897">
        <v>1.8</v>
      </c>
      <c r="D897" t="str">
        <f t="shared" si="39"/>
        <v>Low</v>
      </c>
      <c r="E897" t="s">
        <v>12</v>
      </c>
      <c r="F897" s="1">
        <v>4.9000000000000004</v>
      </c>
      <c r="G897" t="str">
        <f t="shared" si="40"/>
        <v>Low</v>
      </c>
      <c r="H897">
        <v>2.2999999999999998</v>
      </c>
      <c r="I897">
        <v>2.67</v>
      </c>
      <c r="J897" s="1">
        <v>1.4</v>
      </c>
      <c r="K897" t="str">
        <f t="shared" si="41"/>
        <v>1-2 hours</v>
      </c>
      <c r="L897" t="s">
        <v>17</v>
      </c>
      <c r="M897">
        <v>3</v>
      </c>
      <c r="N897">
        <v>8</v>
      </c>
      <c r="O897">
        <v>6</v>
      </c>
      <c r="P897">
        <v>0</v>
      </c>
    </row>
    <row r="898" spans="1:16" x14ac:dyDescent="0.25">
      <c r="A898">
        <v>18</v>
      </c>
      <c r="B898" t="s">
        <v>11</v>
      </c>
      <c r="C898">
        <v>6.8</v>
      </c>
      <c r="D898" t="str">
        <f t="shared" ref="D898:D961" si="42">IF(C898&lt;2,"Low",IF(C898&lt;7,"Medium","High"))</f>
        <v>Medium</v>
      </c>
      <c r="E898" t="s">
        <v>18</v>
      </c>
      <c r="F898" s="1">
        <v>5.4</v>
      </c>
      <c r="G898" t="str">
        <f t="shared" ref="G898:G961" si="43">IF(F898&gt;=8,"Normal","Low")</f>
        <v>Low</v>
      </c>
      <c r="H898">
        <v>0.9</v>
      </c>
      <c r="I898">
        <v>2.64</v>
      </c>
      <c r="J898" s="1">
        <v>0.3</v>
      </c>
      <c r="K898" t="str">
        <f t="shared" ref="K898:K961" si="44">IF(J898=0,"No activity",IF(J898&lt;=1,"0-1 hours","1-2 hours"))</f>
        <v>0-1 hours</v>
      </c>
      <c r="L898" t="s">
        <v>16</v>
      </c>
      <c r="M898">
        <v>9</v>
      </c>
      <c r="N898">
        <v>1</v>
      </c>
      <c r="O898">
        <v>8</v>
      </c>
      <c r="P898">
        <v>0</v>
      </c>
    </row>
    <row r="899" spans="1:16" x14ac:dyDescent="0.25">
      <c r="A899">
        <v>18</v>
      </c>
      <c r="B899" t="s">
        <v>11</v>
      </c>
      <c r="C899">
        <v>7.9</v>
      </c>
      <c r="D899" t="str">
        <f t="shared" si="42"/>
        <v>High</v>
      </c>
      <c r="E899" t="s">
        <v>12</v>
      </c>
      <c r="F899" s="1">
        <v>4.0999999999999996</v>
      </c>
      <c r="G899" t="str">
        <f t="shared" si="43"/>
        <v>Low</v>
      </c>
      <c r="H899">
        <v>2.8</v>
      </c>
      <c r="I899">
        <v>3.25</v>
      </c>
      <c r="J899" s="1">
        <v>1.4</v>
      </c>
      <c r="K899" t="str">
        <f t="shared" si="44"/>
        <v>1-2 hours</v>
      </c>
      <c r="L899" t="s">
        <v>16</v>
      </c>
      <c r="M899">
        <v>4</v>
      </c>
      <c r="N899">
        <v>2</v>
      </c>
      <c r="O899">
        <v>4</v>
      </c>
      <c r="P899">
        <v>0</v>
      </c>
    </row>
    <row r="900" spans="1:16" x14ac:dyDescent="0.25">
      <c r="A900">
        <v>15</v>
      </c>
      <c r="B900" t="s">
        <v>11</v>
      </c>
      <c r="C900">
        <v>7.6</v>
      </c>
      <c r="D900" t="str">
        <f t="shared" si="42"/>
        <v>High</v>
      </c>
      <c r="E900" t="s">
        <v>18</v>
      </c>
      <c r="F900" s="1">
        <v>6</v>
      </c>
      <c r="G900" t="str">
        <f t="shared" si="43"/>
        <v>Low</v>
      </c>
      <c r="H900">
        <v>2.9</v>
      </c>
      <c r="I900">
        <v>2.72</v>
      </c>
      <c r="J900" s="1">
        <v>1.8</v>
      </c>
      <c r="K900" t="str">
        <f t="shared" si="44"/>
        <v>1-2 hours</v>
      </c>
      <c r="L900" t="s">
        <v>16</v>
      </c>
      <c r="M900">
        <v>1</v>
      </c>
      <c r="N900">
        <v>9</v>
      </c>
      <c r="O900">
        <v>6</v>
      </c>
      <c r="P900">
        <v>0</v>
      </c>
    </row>
    <row r="901" spans="1:16" x14ac:dyDescent="0.25">
      <c r="A901">
        <v>18</v>
      </c>
      <c r="B901" t="s">
        <v>11</v>
      </c>
      <c r="C901">
        <v>6.1</v>
      </c>
      <c r="D901" t="str">
        <f t="shared" si="42"/>
        <v>Medium</v>
      </c>
      <c r="E901" t="s">
        <v>15</v>
      </c>
      <c r="F901" s="1">
        <v>5.8</v>
      </c>
      <c r="G901" t="str">
        <f t="shared" si="43"/>
        <v>Low</v>
      </c>
      <c r="H901">
        <v>1.8</v>
      </c>
      <c r="I901">
        <v>3.59</v>
      </c>
      <c r="J901" s="1">
        <v>0.2</v>
      </c>
      <c r="K901" t="str">
        <f t="shared" si="44"/>
        <v>0-1 hours</v>
      </c>
      <c r="L901" t="s">
        <v>13</v>
      </c>
      <c r="M901">
        <v>2</v>
      </c>
      <c r="N901">
        <v>5</v>
      </c>
      <c r="O901">
        <v>4</v>
      </c>
      <c r="P901">
        <v>0</v>
      </c>
    </row>
    <row r="902" spans="1:16" x14ac:dyDescent="0.25">
      <c r="A902">
        <v>16</v>
      </c>
      <c r="B902" t="s">
        <v>14</v>
      </c>
      <c r="C902">
        <v>1.4</v>
      </c>
      <c r="D902" t="str">
        <f t="shared" si="42"/>
        <v>Low</v>
      </c>
      <c r="E902" t="s">
        <v>18</v>
      </c>
      <c r="F902" s="1">
        <v>5.7</v>
      </c>
      <c r="G902" t="str">
        <f t="shared" si="43"/>
        <v>Low</v>
      </c>
      <c r="H902">
        <v>1.8</v>
      </c>
      <c r="I902">
        <v>2</v>
      </c>
      <c r="J902" s="1">
        <v>1.4</v>
      </c>
      <c r="K902" t="str">
        <f t="shared" si="44"/>
        <v>1-2 hours</v>
      </c>
      <c r="L902" t="s">
        <v>13</v>
      </c>
      <c r="M902">
        <v>4</v>
      </c>
      <c r="N902">
        <v>8</v>
      </c>
      <c r="O902">
        <v>7</v>
      </c>
      <c r="P902">
        <v>0</v>
      </c>
    </row>
    <row r="903" spans="1:16" x14ac:dyDescent="0.25">
      <c r="A903">
        <v>19</v>
      </c>
      <c r="B903" t="s">
        <v>11</v>
      </c>
      <c r="C903">
        <v>6.3</v>
      </c>
      <c r="D903" t="str">
        <f t="shared" si="42"/>
        <v>Medium</v>
      </c>
      <c r="E903" t="s">
        <v>15</v>
      </c>
      <c r="F903" s="1">
        <v>5.7</v>
      </c>
      <c r="G903" t="str">
        <f t="shared" si="43"/>
        <v>Low</v>
      </c>
      <c r="H903">
        <v>1.4</v>
      </c>
      <c r="I903">
        <v>2.0299999999999998</v>
      </c>
      <c r="J903" s="1">
        <v>1.1000000000000001</v>
      </c>
      <c r="K903" t="str">
        <f t="shared" si="44"/>
        <v>1-2 hours</v>
      </c>
      <c r="L903" t="s">
        <v>13</v>
      </c>
      <c r="M903">
        <v>4</v>
      </c>
      <c r="N903">
        <v>6</v>
      </c>
      <c r="O903">
        <v>1</v>
      </c>
      <c r="P903">
        <v>0</v>
      </c>
    </row>
    <row r="904" spans="1:16" x14ac:dyDescent="0.25">
      <c r="A904">
        <v>13</v>
      </c>
      <c r="B904" t="s">
        <v>11</v>
      </c>
      <c r="C904">
        <v>1.3</v>
      </c>
      <c r="D904" t="str">
        <f t="shared" si="42"/>
        <v>Low</v>
      </c>
      <c r="E904" t="s">
        <v>12</v>
      </c>
      <c r="F904" s="1">
        <v>5.7</v>
      </c>
      <c r="G904" t="str">
        <f t="shared" si="43"/>
        <v>Low</v>
      </c>
      <c r="H904">
        <v>1.1000000000000001</v>
      </c>
      <c r="I904">
        <v>3.74</v>
      </c>
      <c r="J904" s="1">
        <v>1.3</v>
      </c>
      <c r="K904" t="str">
        <f t="shared" si="44"/>
        <v>1-2 hours</v>
      </c>
      <c r="L904" t="s">
        <v>13</v>
      </c>
      <c r="M904">
        <v>9</v>
      </c>
      <c r="N904">
        <v>5</v>
      </c>
      <c r="O904">
        <v>10</v>
      </c>
      <c r="P904">
        <v>0</v>
      </c>
    </row>
    <row r="905" spans="1:16" x14ac:dyDescent="0.25">
      <c r="A905">
        <v>17</v>
      </c>
      <c r="B905" t="s">
        <v>11</v>
      </c>
      <c r="C905">
        <v>5.0999999999999996</v>
      </c>
      <c r="D905" t="str">
        <f t="shared" si="42"/>
        <v>Medium</v>
      </c>
      <c r="E905" t="s">
        <v>15</v>
      </c>
      <c r="F905" s="1">
        <v>5.0999999999999996</v>
      </c>
      <c r="G905" t="str">
        <f t="shared" si="43"/>
        <v>Low</v>
      </c>
      <c r="H905">
        <v>2.9</v>
      </c>
      <c r="I905">
        <v>3.99</v>
      </c>
      <c r="J905" s="1">
        <v>0.6</v>
      </c>
      <c r="K905" t="str">
        <f t="shared" si="44"/>
        <v>0-1 hours</v>
      </c>
      <c r="L905" t="s">
        <v>17</v>
      </c>
      <c r="M905">
        <v>4</v>
      </c>
      <c r="N905">
        <v>2</v>
      </c>
      <c r="O905">
        <v>9</v>
      </c>
      <c r="P905">
        <v>0</v>
      </c>
    </row>
    <row r="906" spans="1:16" x14ac:dyDescent="0.25">
      <c r="A906">
        <v>19</v>
      </c>
      <c r="B906" t="s">
        <v>14</v>
      </c>
      <c r="C906">
        <v>4</v>
      </c>
      <c r="D906" t="str">
        <f t="shared" si="42"/>
        <v>Medium</v>
      </c>
      <c r="E906" t="s">
        <v>12</v>
      </c>
      <c r="F906" s="1">
        <v>8.1999999999999993</v>
      </c>
      <c r="G906" t="str">
        <f t="shared" si="43"/>
        <v>Normal</v>
      </c>
      <c r="H906">
        <v>1.4</v>
      </c>
      <c r="I906">
        <v>3.63</v>
      </c>
      <c r="J906" s="1">
        <v>1.3</v>
      </c>
      <c r="K906" t="str">
        <f t="shared" si="44"/>
        <v>1-2 hours</v>
      </c>
      <c r="L906" t="s">
        <v>13</v>
      </c>
      <c r="M906">
        <v>5</v>
      </c>
      <c r="N906">
        <v>3</v>
      </c>
      <c r="O906">
        <v>10</v>
      </c>
      <c r="P906">
        <v>0</v>
      </c>
    </row>
    <row r="907" spans="1:16" x14ac:dyDescent="0.25">
      <c r="A907">
        <v>17</v>
      </c>
      <c r="B907" t="s">
        <v>14</v>
      </c>
      <c r="C907">
        <v>7.6</v>
      </c>
      <c r="D907" t="str">
        <f t="shared" si="42"/>
        <v>High</v>
      </c>
      <c r="E907" t="s">
        <v>12</v>
      </c>
      <c r="F907" s="1">
        <v>7.3</v>
      </c>
      <c r="G907" t="str">
        <f t="shared" si="43"/>
        <v>Low</v>
      </c>
      <c r="H907">
        <v>1.9</v>
      </c>
      <c r="I907">
        <v>3.05</v>
      </c>
      <c r="J907" s="1">
        <v>1.1000000000000001</v>
      </c>
      <c r="K907" t="str">
        <f t="shared" si="44"/>
        <v>1-2 hours</v>
      </c>
      <c r="L907" t="s">
        <v>17</v>
      </c>
      <c r="M907">
        <v>10</v>
      </c>
      <c r="N907">
        <v>8</v>
      </c>
      <c r="O907">
        <v>1</v>
      </c>
      <c r="P907">
        <v>0</v>
      </c>
    </row>
    <row r="908" spans="1:16" x14ac:dyDescent="0.25">
      <c r="A908">
        <v>19</v>
      </c>
      <c r="B908" t="s">
        <v>11</v>
      </c>
      <c r="C908">
        <v>3.8</v>
      </c>
      <c r="D908" t="str">
        <f t="shared" si="42"/>
        <v>Medium</v>
      </c>
      <c r="E908" t="s">
        <v>15</v>
      </c>
      <c r="F908" s="1">
        <v>7.4</v>
      </c>
      <c r="G908" t="str">
        <f t="shared" si="43"/>
        <v>Low</v>
      </c>
      <c r="H908">
        <v>2.6</v>
      </c>
      <c r="I908">
        <v>2.25</v>
      </c>
      <c r="J908" s="1">
        <v>0.5</v>
      </c>
      <c r="K908" t="str">
        <f t="shared" si="44"/>
        <v>0-1 hours</v>
      </c>
      <c r="L908" t="s">
        <v>13</v>
      </c>
      <c r="M908">
        <v>7</v>
      </c>
      <c r="N908">
        <v>4</v>
      </c>
      <c r="O908">
        <v>8</v>
      </c>
      <c r="P908">
        <v>0</v>
      </c>
    </row>
    <row r="909" spans="1:16" x14ac:dyDescent="0.25">
      <c r="A909">
        <v>17</v>
      </c>
      <c r="B909" t="s">
        <v>11</v>
      </c>
      <c r="C909">
        <v>5.2</v>
      </c>
      <c r="D909" t="str">
        <f t="shared" si="42"/>
        <v>Medium</v>
      </c>
      <c r="E909" t="s">
        <v>12</v>
      </c>
      <c r="F909" s="1">
        <v>4.7</v>
      </c>
      <c r="G909" t="str">
        <f t="shared" si="43"/>
        <v>Low</v>
      </c>
      <c r="H909">
        <v>2.4</v>
      </c>
      <c r="I909">
        <v>2.77</v>
      </c>
      <c r="J909" s="1">
        <v>1.3</v>
      </c>
      <c r="K909" t="str">
        <f t="shared" si="44"/>
        <v>1-2 hours</v>
      </c>
      <c r="L909" t="s">
        <v>16</v>
      </c>
      <c r="M909">
        <v>9</v>
      </c>
      <c r="N909">
        <v>6</v>
      </c>
      <c r="O909">
        <v>9</v>
      </c>
      <c r="P909">
        <v>0</v>
      </c>
    </row>
    <row r="910" spans="1:16" x14ac:dyDescent="0.25">
      <c r="A910">
        <v>13</v>
      </c>
      <c r="B910" t="s">
        <v>11</v>
      </c>
      <c r="C910">
        <v>5</v>
      </c>
      <c r="D910" t="str">
        <f t="shared" si="42"/>
        <v>Medium</v>
      </c>
      <c r="E910" t="s">
        <v>18</v>
      </c>
      <c r="F910" s="1">
        <v>8.6</v>
      </c>
      <c r="G910" t="str">
        <f t="shared" si="43"/>
        <v>Normal</v>
      </c>
      <c r="H910">
        <v>0.7</v>
      </c>
      <c r="I910">
        <v>2.99</v>
      </c>
      <c r="J910" s="1">
        <v>1.5</v>
      </c>
      <c r="K910" t="str">
        <f t="shared" si="44"/>
        <v>1-2 hours</v>
      </c>
      <c r="L910" t="s">
        <v>13</v>
      </c>
      <c r="M910">
        <v>3</v>
      </c>
      <c r="N910">
        <v>8</v>
      </c>
      <c r="O910">
        <v>3</v>
      </c>
      <c r="P910">
        <v>0</v>
      </c>
    </row>
    <row r="911" spans="1:16" x14ac:dyDescent="0.25">
      <c r="A911">
        <v>19</v>
      </c>
      <c r="B911" t="s">
        <v>14</v>
      </c>
      <c r="C911">
        <v>7.4</v>
      </c>
      <c r="D911" t="str">
        <f t="shared" si="42"/>
        <v>High</v>
      </c>
      <c r="E911" t="s">
        <v>18</v>
      </c>
      <c r="F911" s="1">
        <v>8.3000000000000007</v>
      </c>
      <c r="G911" t="str">
        <f t="shared" si="43"/>
        <v>Normal</v>
      </c>
      <c r="H911">
        <v>1.4</v>
      </c>
      <c r="I911">
        <v>3.64</v>
      </c>
      <c r="J911" s="1">
        <v>0.4</v>
      </c>
      <c r="K911" t="str">
        <f t="shared" si="44"/>
        <v>0-1 hours</v>
      </c>
      <c r="L911" t="s">
        <v>13</v>
      </c>
      <c r="M911">
        <v>6</v>
      </c>
      <c r="N911">
        <v>9</v>
      </c>
      <c r="O911">
        <v>6</v>
      </c>
      <c r="P911">
        <v>0</v>
      </c>
    </row>
    <row r="912" spans="1:16" x14ac:dyDescent="0.25">
      <c r="A912">
        <v>16</v>
      </c>
      <c r="B912" t="s">
        <v>11</v>
      </c>
      <c r="C912">
        <v>6.1</v>
      </c>
      <c r="D912" t="str">
        <f t="shared" si="42"/>
        <v>Medium</v>
      </c>
      <c r="E912" t="s">
        <v>15</v>
      </c>
      <c r="F912" s="1">
        <v>6.8</v>
      </c>
      <c r="G912" t="str">
        <f t="shared" si="43"/>
        <v>Low</v>
      </c>
      <c r="H912">
        <v>0.8</v>
      </c>
      <c r="I912">
        <v>2.61</v>
      </c>
      <c r="J912" s="1">
        <v>0.9</v>
      </c>
      <c r="K912" t="str">
        <f t="shared" si="44"/>
        <v>0-1 hours</v>
      </c>
      <c r="L912" t="s">
        <v>13</v>
      </c>
      <c r="M912">
        <v>10</v>
      </c>
      <c r="N912">
        <v>10</v>
      </c>
      <c r="O912">
        <v>4</v>
      </c>
      <c r="P912">
        <v>0</v>
      </c>
    </row>
    <row r="913" spans="1:16" x14ac:dyDescent="0.25">
      <c r="A913">
        <v>13</v>
      </c>
      <c r="B913" t="s">
        <v>14</v>
      </c>
      <c r="C913">
        <v>7.4</v>
      </c>
      <c r="D913" t="str">
        <f t="shared" si="42"/>
        <v>High</v>
      </c>
      <c r="E913" t="s">
        <v>18</v>
      </c>
      <c r="F913" s="1">
        <v>6.7</v>
      </c>
      <c r="G913" t="str">
        <f t="shared" si="43"/>
        <v>Low</v>
      </c>
      <c r="H913">
        <v>2</v>
      </c>
      <c r="I913">
        <v>2.42</v>
      </c>
      <c r="J913" s="1">
        <v>1.5</v>
      </c>
      <c r="K913" t="str">
        <f t="shared" si="44"/>
        <v>1-2 hours</v>
      </c>
      <c r="L913" t="s">
        <v>13</v>
      </c>
      <c r="M913">
        <v>10</v>
      </c>
      <c r="N913">
        <v>1</v>
      </c>
      <c r="O913">
        <v>1</v>
      </c>
      <c r="P913">
        <v>0</v>
      </c>
    </row>
    <row r="914" spans="1:16" x14ac:dyDescent="0.25">
      <c r="A914">
        <v>16</v>
      </c>
      <c r="B914" t="s">
        <v>11</v>
      </c>
      <c r="C914">
        <v>3.5</v>
      </c>
      <c r="D914" t="str">
        <f t="shared" si="42"/>
        <v>Medium</v>
      </c>
      <c r="E914" t="s">
        <v>18</v>
      </c>
      <c r="F914" s="1">
        <v>4.4000000000000004</v>
      </c>
      <c r="G914" t="str">
        <f t="shared" si="43"/>
        <v>Low</v>
      </c>
      <c r="H914">
        <v>1.5</v>
      </c>
      <c r="I914">
        <v>2.7</v>
      </c>
      <c r="J914" s="1">
        <v>0.8</v>
      </c>
      <c r="K914" t="str">
        <f t="shared" si="44"/>
        <v>0-1 hours</v>
      </c>
      <c r="L914" t="s">
        <v>16</v>
      </c>
      <c r="M914">
        <v>2</v>
      </c>
      <c r="N914">
        <v>10</v>
      </c>
      <c r="O914">
        <v>8</v>
      </c>
      <c r="P914">
        <v>0</v>
      </c>
    </row>
    <row r="915" spans="1:16" x14ac:dyDescent="0.25">
      <c r="A915">
        <v>14</v>
      </c>
      <c r="B915" t="s">
        <v>11</v>
      </c>
      <c r="C915">
        <v>5.0999999999999996</v>
      </c>
      <c r="D915" t="str">
        <f t="shared" si="42"/>
        <v>Medium</v>
      </c>
      <c r="E915" t="s">
        <v>12</v>
      </c>
      <c r="F915" s="1">
        <v>6.3</v>
      </c>
      <c r="G915" t="str">
        <f t="shared" si="43"/>
        <v>Low</v>
      </c>
      <c r="H915">
        <v>1.6</v>
      </c>
      <c r="I915">
        <v>2.7</v>
      </c>
      <c r="J915" s="1">
        <v>0.1</v>
      </c>
      <c r="K915" t="str">
        <f t="shared" si="44"/>
        <v>0-1 hours</v>
      </c>
      <c r="L915" t="s">
        <v>17</v>
      </c>
      <c r="M915">
        <v>7</v>
      </c>
      <c r="N915">
        <v>2</v>
      </c>
      <c r="O915">
        <v>7</v>
      </c>
      <c r="P915">
        <v>0</v>
      </c>
    </row>
    <row r="916" spans="1:16" x14ac:dyDescent="0.25">
      <c r="A916">
        <v>17</v>
      </c>
      <c r="B916" t="s">
        <v>11</v>
      </c>
      <c r="C916">
        <v>4.8</v>
      </c>
      <c r="D916" t="str">
        <f t="shared" si="42"/>
        <v>Medium</v>
      </c>
      <c r="E916" t="s">
        <v>15</v>
      </c>
      <c r="F916" s="1">
        <v>6</v>
      </c>
      <c r="G916" t="str">
        <f t="shared" si="43"/>
        <v>Low</v>
      </c>
      <c r="H916">
        <v>2.1</v>
      </c>
      <c r="I916">
        <v>2.39</v>
      </c>
      <c r="J916" s="1">
        <v>1.8</v>
      </c>
      <c r="K916" t="str">
        <f t="shared" si="44"/>
        <v>1-2 hours</v>
      </c>
      <c r="L916" t="s">
        <v>16</v>
      </c>
      <c r="M916">
        <v>5</v>
      </c>
      <c r="N916">
        <v>8</v>
      </c>
      <c r="O916">
        <v>7</v>
      </c>
      <c r="P916">
        <v>0</v>
      </c>
    </row>
    <row r="917" spans="1:16" x14ac:dyDescent="0.25">
      <c r="A917">
        <v>14</v>
      </c>
      <c r="B917" t="s">
        <v>11</v>
      </c>
      <c r="C917">
        <v>7.5</v>
      </c>
      <c r="D917" t="str">
        <f t="shared" si="42"/>
        <v>High</v>
      </c>
      <c r="E917" t="s">
        <v>18</v>
      </c>
      <c r="F917" s="1">
        <v>7.6</v>
      </c>
      <c r="G917" t="str">
        <f t="shared" si="43"/>
        <v>Low</v>
      </c>
      <c r="H917">
        <v>2.8</v>
      </c>
      <c r="I917">
        <v>3.1</v>
      </c>
      <c r="J917" s="1">
        <v>0.7</v>
      </c>
      <c r="K917" t="str">
        <f t="shared" si="44"/>
        <v>0-1 hours</v>
      </c>
      <c r="L917" t="s">
        <v>17</v>
      </c>
      <c r="M917">
        <v>3</v>
      </c>
      <c r="N917">
        <v>1</v>
      </c>
      <c r="O917">
        <v>2</v>
      </c>
      <c r="P917">
        <v>0</v>
      </c>
    </row>
    <row r="918" spans="1:16" x14ac:dyDescent="0.25">
      <c r="A918">
        <v>19</v>
      </c>
      <c r="B918" t="s">
        <v>11</v>
      </c>
      <c r="C918">
        <v>4.7</v>
      </c>
      <c r="D918" t="str">
        <f t="shared" si="42"/>
        <v>Medium</v>
      </c>
      <c r="E918" t="s">
        <v>18</v>
      </c>
      <c r="F918" s="1">
        <v>8.6999999999999993</v>
      </c>
      <c r="G918" t="str">
        <f t="shared" si="43"/>
        <v>Normal</v>
      </c>
      <c r="H918">
        <v>2</v>
      </c>
      <c r="I918">
        <v>3.23</v>
      </c>
      <c r="J918" s="1">
        <v>1.7</v>
      </c>
      <c r="K918" t="str">
        <f t="shared" si="44"/>
        <v>1-2 hours</v>
      </c>
      <c r="L918" t="s">
        <v>13</v>
      </c>
      <c r="M918">
        <v>4</v>
      </c>
      <c r="N918">
        <v>10</v>
      </c>
      <c r="O918">
        <v>3</v>
      </c>
      <c r="P918">
        <v>0</v>
      </c>
    </row>
    <row r="919" spans="1:16" x14ac:dyDescent="0.25">
      <c r="A919">
        <v>19</v>
      </c>
      <c r="B919" t="s">
        <v>11</v>
      </c>
      <c r="C919">
        <v>3.3</v>
      </c>
      <c r="D919" t="str">
        <f t="shared" si="42"/>
        <v>Medium</v>
      </c>
      <c r="E919" t="s">
        <v>15</v>
      </c>
      <c r="F919" s="1">
        <v>8.5</v>
      </c>
      <c r="G919" t="str">
        <f t="shared" si="43"/>
        <v>Normal</v>
      </c>
      <c r="H919">
        <v>1.2</v>
      </c>
      <c r="I919">
        <v>3.29</v>
      </c>
      <c r="J919" s="1">
        <v>0.5</v>
      </c>
      <c r="K919" t="str">
        <f t="shared" si="44"/>
        <v>0-1 hours</v>
      </c>
      <c r="L919" t="s">
        <v>17</v>
      </c>
      <c r="M919">
        <v>6</v>
      </c>
      <c r="N919">
        <v>2</v>
      </c>
      <c r="O919">
        <v>9</v>
      </c>
      <c r="P919">
        <v>0</v>
      </c>
    </row>
    <row r="920" spans="1:16" x14ac:dyDescent="0.25">
      <c r="A920">
        <v>16</v>
      </c>
      <c r="B920" t="s">
        <v>14</v>
      </c>
      <c r="C920">
        <v>6.9</v>
      </c>
      <c r="D920" t="str">
        <f t="shared" si="42"/>
        <v>Medium</v>
      </c>
      <c r="E920" t="s">
        <v>12</v>
      </c>
      <c r="F920" s="1">
        <v>5.8</v>
      </c>
      <c r="G920" t="str">
        <f t="shared" si="43"/>
        <v>Low</v>
      </c>
      <c r="H920">
        <v>0.6</v>
      </c>
      <c r="I920">
        <v>3.65</v>
      </c>
      <c r="J920" s="1">
        <v>0.5</v>
      </c>
      <c r="K920" t="str">
        <f t="shared" si="44"/>
        <v>0-1 hours</v>
      </c>
      <c r="L920" t="s">
        <v>16</v>
      </c>
      <c r="M920">
        <v>10</v>
      </c>
      <c r="N920">
        <v>8</v>
      </c>
      <c r="O920">
        <v>10</v>
      </c>
      <c r="P920">
        <v>1</v>
      </c>
    </row>
    <row r="921" spans="1:16" x14ac:dyDescent="0.25">
      <c r="A921">
        <v>15</v>
      </c>
      <c r="B921" t="s">
        <v>11</v>
      </c>
      <c r="C921">
        <v>5.4</v>
      </c>
      <c r="D921" t="str">
        <f t="shared" si="42"/>
        <v>Medium</v>
      </c>
      <c r="E921" t="s">
        <v>12</v>
      </c>
      <c r="F921" s="1">
        <v>4.2</v>
      </c>
      <c r="G921" t="str">
        <f t="shared" si="43"/>
        <v>Low</v>
      </c>
      <c r="H921">
        <v>1.5</v>
      </c>
      <c r="I921">
        <v>2.72</v>
      </c>
      <c r="J921" s="1">
        <v>0.4</v>
      </c>
      <c r="K921" t="str">
        <f t="shared" si="44"/>
        <v>0-1 hours</v>
      </c>
      <c r="L921" t="s">
        <v>16</v>
      </c>
      <c r="M921">
        <v>1</v>
      </c>
      <c r="N921">
        <v>6</v>
      </c>
      <c r="O921">
        <v>5</v>
      </c>
      <c r="P921">
        <v>0</v>
      </c>
    </row>
    <row r="922" spans="1:16" x14ac:dyDescent="0.25">
      <c r="A922">
        <v>13</v>
      </c>
      <c r="B922" t="s">
        <v>14</v>
      </c>
      <c r="C922">
        <v>5.2</v>
      </c>
      <c r="D922" t="str">
        <f t="shared" si="42"/>
        <v>Medium</v>
      </c>
      <c r="E922" t="s">
        <v>18</v>
      </c>
      <c r="F922" s="1">
        <v>7.7</v>
      </c>
      <c r="G922" t="str">
        <f t="shared" si="43"/>
        <v>Low</v>
      </c>
      <c r="H922">
        <v>2.7</v>
      </c>
      <c r="I922">
        <v>2.84</v>
      </c>
      <c r="J922" s="1">
        <v>0.8</v>
      </c>
      <c r="K922" t="str">
        <f t="shared" si="44"/>
        <v>0-1 hours</v>
      </c>
      <c r="L922" t="s">
        <v>16</v>
      </c>
      <c r="M922">
        <v>2</v>
      </c>
      <c r="N922">
        <v>5</v>
      </c>
      <c r="O922">
        <v>5</v>
      </c>
      <c r="P922">
        <v>0</v>
      </c>
    </row>
    <row r="923" spans="1:16" x14ac:dyDescent="0.25">
      <c r="A923">
        <v>15</v>
      </c>
      <c r="B923" t="s">
        <v>14</v>
      </c>
      <c r="C923">
        <v>3.3</v>
      </c>
      <c r="D923" t="str">
        <f t="shared" si="42"/>
        <v>Medium</v>
      </c>
      <c r="E923" t="s">
        <v>12</v>
      </c>
      <c r="F923" s="1">
        <v>6.5</v>
      </c>
      <c r="G923" t="str">
        <f t="shared" si="43"/>
        <v>Low</v>
      </c>
      <c r="H923">
        <v>1.3</v>
      </c>
      <c r="I923">
        <v>2.44</v>
      </c>
      <c r="J923" s="1">
        <v>0.3</v>
      </c>
      <c r="K923" t="str">
        <f t="shared" si="44"/>
        <v>0-1 hours</v>
      </c>
      <c r="L923" t="s">
        <v>17</v>
      </c>
      <c r="M923">
        <v>7</v>
      </c>
      <c r="N923">
        <v>6</v>
      </c>
      <c r="O923">
        <v>7</v>
      </c>
      <c r="P923">
        <v>0</v>
      </c>
    </row>
    <row r="924" spans="1:16" x14ac:dyDescent="0.25">
      <c r="A924">
        <v>15</v>
      </c>
      <c r="B924" t="s">
        <v>14</v>
      </c>
      <c r="C924">
        <v>7.3</v>
      </c>
      <c r="D924" t="str">
        <f t="shared" si="42"/>
        <v>High</v>
      </c>
      <c r="E924" t="s">
        <v>18</v>
      </c>
      <c r="F924" s="1">
        <v>7.6</v>
      </c>
      <c r="G924" t="str">
        <f t="shared" si="43"/>
        <v>Low</v>
      </c>
      <c r="H924">
        <v>1.9</v>
      </c>
      <c r="I924">
        <v>2.31</v>
      </c>
      <c r="J924" s="1">
        <v>0.8</v>
      </c>
      <c r="K924" t="str">
        <f t="shared" si="44"/>
        <v>0-1 hours</v>
      </c>
      <c r="L924" t="s">
        <v>17</v>
      </c>
      <c r="M924">
        <v>8</v>
      </c>
      <c r="N924">
        <v>7</v>
      </c>
      <c r="O924">
        <v>5</v>
      </c>
      <c r="P924">
        <v>0</v>
      </c>
    </row>
    <row r="925" spans="1:16" x14ac:dyDescent="0.25">
      <c r="A925">
        <v>17</v>
      </c>
      <c r="B925" t="s">
        <v>11</v>
      </c>
      <c r="C925">
        <v>7.6</v>
      </c>
      <c r="D925" t="str">
        <f t="shared" si="42"/>
        <v>High</v>
      </c>
      <c r="E925" t="s">
        <v>18</v>
      </c>
      <c r="F925" s="1">
        <v>4.9000000000000004</v>
      </c>
      <c r="G925" t="str">
        <f t="shared" si="43"/>
        <v>Low</v>
      </c>
      <c r="H925">
        <v>0.6</v>
      </c>
      <c r="I925">
        <v>2.56</v>
      </c>
      <c r="J925" s="1">
        <v>0.8</v>
      </c>
      <c r="K925" t="str">
        <f t="shared" si="44"/>
        <v>0-1 hours</v>
      </c>
      <c r="L925" t="s">
        <v>13</v>
      </c>
      <c r="M925">
        <v>4</v>
      </c>
      <c r="N925">
        <v>1</v>
      </c>
      <c r="O925">
        <v>9</v>
      </c>
      <c r="P925">
        <v>0</v>
      </c>
    </row>
    <row r="926" spans="1:16" x14ac:dyDescent="0.25">
      <c r="A926">
        <v>17</v>
      </c>
      <c r="B926" t="s">
        <v>11</v>
      </c>
      <c r="C926">
        <v>1.7</v>
      </c>
      <c r="D926" t="str">
        <f t="shared" si="42"/>
        <v>Low</v>
      </c>
      <c r="E926" t="s">
        <v>18</v>
      </c>
      <c r="F926" s="1">
        <v>7</v>
      </c>
      <c r="G926" t="str">
        <f t="shared" si="43"/>
        <v>Low</v>
      </c>
      <c r="H926">
        <v>0.8</v>
      </c>
      <c r="I926">
        <v>3.39</v>
      </c>
      <c r="J926" s="1">
        <v>0.9</v>
      </c>
      <c r="K926" t="str">
        <f t="shared" si="44"/>
        <v>0-1 hours</v>
      </c>
      <c r="L926" t="s">
        <v>16</v>
      </c>
      <c r="M926">
        <v>7</v>
      </c>
      <c r="N926">
        <v>7</v>
      </c>
      <c r="O926">
        <v>10</v>
      </c>
      <c r="P926">
        <v>0</v>
      </c>
    </row>
    <row r="927" spans="1:16" x14ac:dyDescent="0.25">
      <c r="A927">
        <v>18</v>
      </c>
      <c r="B927" t="s">
        <v>11</v>
      </c>
      <c r="C927">
        <v>1.5</v>
      </c>
      <c r="D927" t="str">
        <f t="shared" si="42"/>
        <v>Low</v>
      </c>
      <c r="E927" t="s">
        <v>18</v>
      </c>
      <c r="F927" s="1">
        <v>5.6</v>
      </c>
      <c r="G927" t="str">
        <f t="shared" si="43"/>
        <v>Low</v>
      </c>
      <c r="H927">
        <v>2.9</v>
      </c>
      <c r="I927">
        <v>2.57</v>
      </c>
      <c r="J927" s="1">
        <v>0.6</v>
      </c>
      <c r="K927" t="str">
        <f t="shared" si="44"/>
        <v>0-1 hours</v>
      </c>
      <c r="L927" t="s">
        <v>16</v>
      </c>
      <c r="M927">
        <v>5</v>
      </c>
      <c r="N927">
        <v>8</v>
      </c>
      <c r="O927">
        <v>4</v>
      </c>
      <c r="P927">
        <v>0</v>
      </c>
    </row>
    <row r="928" spans="1:16" x14ac:dyDescent="0.25">
      <c r="A928">
        <v>17</v>
      </c>
      <c r="B928" t="s">
        <v>11</v>
      </c>
      <c r="C928">
        <v>7.3</v>
      </c>
      <c r="D928" t="str">
        <f t="shared" si="42"/>
        <v>High</v>
      </c>
      <c r="E928" t="s">
        <v>18</v>
      </c>
      <c r="F928" s="1">
        <v>8.5</v>
      </c>
      <c r="G928" t="str">
        <f t="shared" si="43"/>
        <v>Normal</v>
      </c>
      <c r="H928">
        <v>1.5</v>
      </c>
      <c r="I928">
        <v>3.54</v>
      </c>
      <c r="J928" s="1">
        <v>1.2</v>
      </c>
      <c r="K928" t="str">
        <f t="shared" si="44"/>
        <v>1-2 hours</v>
      </c>
      <c r="L928" t="s">
        <v>13</v>
      </c>
      <c r="M928">
        <v>3</v>
      </c>
      <c r="N928">
        <v>3</v>
      </c>
      <c r="O928">
        <v>7</v>
      </c>
      <c r="P928">
        <v>0</v>
      </c>
    </row>
    <row r="929" spans="1:16" x14ac:dyDescent="0.25">
      <c r="A929">
        <v>14</v>
      </c>
      <c r="B929" t="s">
        <v>11</v>
      </c>
      <c r="C929">
        <v>2.8</v>
      </c>
      <c r="D929" t="str">
        <f t="shared" si="42"/>
        <v>Medium</v>
      </c>
      <c r="E929" t="s">
        <v>18</v>
      </c>
      <c r="F929" s="1">
        <v>6.2</v>
      </c>
      <c r="G929" t="str">
        <f t="shared" si="43"/>
        <v>Low</v>
      </c>
      <c r="H929">
        <v>1.2</v>
      </c>
      <c r="I929">
        <v>3.21</v>
      </c>
      <c r="J929" s="1">
        <v>1</v>
      </c>
      <c r="K929" t="str">
        <f t="shared" si="44"/>
        <v>0-1 hours</v>
      </c>
      <c r="L929" t="s">
        <v>13</v>
      </c>
      <c r="M929">
        <v>3</v>
      </c>
      <c r="N929">
        <v>10</v>
      </c>
      <c r="O929">
        <v>6</v>
      </c>
      <c r="P929">
        <v>0</v>
      </c>
    </row>
    <row r="930" spans="1:16" x14ac:dyDescent="0.25">
      <c r="A930">
        <v>15</v>
      </c>
      <c r="B930" t="s">
        <v>11</v>
      </c>
      <c r="C930">
        <v>1.2</v>
      </c>
      <c r="D930" t="str">
        <f t="shared" si="42"/>
        <v>Low</v>
      </c>
      <c r="E930" t="s">
        <v>18</v>
      </c>
      <c r="F930" s="1">
        <v>7.4</v>
      </c>
      <c r="G930" t="str">
        <f t="shared" si="43"/>
        <v>Low</v>
      </c>
      <c r="H930">
        <v>2.7</v>
      </c>
      <c r="I930">
        <v>2.92</v>
      </c>
      <c r="J930" s="1">
        <v>1.4</v>
      </c>
      <c r="K930" t="str">
        <f t="shared" si="44"/>
        <v>1-2 hours</v>
      </c>
      <c r="L930" t="s">
        <v>13</v>
      </c>
      <c r="M930">
        <v>3</v>
      </c>
      <c r="N930">
        <v>7</v>
      </c>
      <c r="O930">
        <v>4</v>
      </c>
      <c r="P930">
        <v>0</v>
      </c>
    </row>
    <row r="931" spans="1:16" x14ac:dyDescent="0.25">
      <c r="A931">
        <v>16</v>
      </c>
      <c r="B931" t="s">
        <v>14</v>
      </c>
      <c r="C931">
        <v>2.5</v>
      </c>
      <c r="D931" t="str">
        <f t="shared" si="42"/>
        <v>Medium</v>
      </c>
      <c r="E931" t="s">
        <v>15</v>
      </c>
      <c r="F931" s="1">
        <v>8.9</v>
      </c>
      <c r="G931" t="str">
        <f t="shared" si="43"/>
        <v>Normal</v>
      </c>
      <c r="H931">
        <v>1.2</v>
      </c>
      <c r="I931">
        <v>3.33</v>
      </c>
      <c r="J931" s="1">
        <v>1.5</v>
      </c>
      <c r="K931" t="str">
        <f t="shared" si="44"/>
        <v>1-2 hours</v>
      </c>
      <c r="L931" t="s">
        <v>16</v>
      </c>
      <c r="M931">
        <v>4</v>
      </c>
      <c r="N931">
        <v>4</v>
      </c>
      <c r="O931">
        <v>10</v>
      </c>
      <c r="P931">
        <v>0</v>
      </c>
    </row>
    <row r="932" spans="1:16" x14ac:dyDescent="0.25">
      <c r="A932">
        <v>17</v>
      </c>
      <c r="B932" t="s">
        <v>11</v>
      </c>
      <c r="C932">
        <v>4.8</v>
      </c>
      <c r="D932" t="str">
        <f t="shared" si="42"/>
        <v>Medium</v>
      </c>
      <c r="E932" t="s">
        <v>15</v>
      </c>
      <c r="F932" s="1">
        <v>5.6</v>
      </c>
      <c r="G932" t="str">
        <f t="shared" si="43"/>
        <v>Low</v>
      </c>
      <c r="H932">
        <v>1.6</v>
      </c>
      <c r="I932">
        <v>2</v>
      </c>
      <c r="J932" s="1">
        <v>1.3</v>
      </c>
      <c r="K932" t="str">
        <f t="shared" si="44"/>
        <v>1-2 hours</v>
      </c>
      <c r="L932" t="s">
        <v>13</v>
      </c>
      <c r="M932">
        <v>3</v>
      </c>
      <c r="N932">
        <v>8</v>
      </c>
      <c r="O932">
        <v>4</v>
      </c>
      <c r="P932">
        <v>0</v>
      </c>
    </row>
    <row r="933" spans="1:16" x14ac:dyDescent="0.25">
      <c r="A933">
        <v>18</v>
      </c>
      <c r="B933" t="s">
        <v>14</v>
      </c>
      <c r="C933">
        <v>6.4</v>
      </c>
      <c r="D933" t="str">
        <f t="shared" si="42"/>
        <v>Medium</v>
      </c>
      <c r="E933" t="s">
        <v>18</v>
      </c>
      <c r="F933" s="1">
        <v>4.2</v>
      </c>
      <c r="G933" t="str">
        <f t="shared" si="43"/>
        <v>Low</v>
      </c>
      <c r="H933">
        <v>1.1000000000000001</v>
      </c>
      <c r="I933">
        <v>2.68</v>
      </c>
      <c r="J933" s="1">
        <v>0.3</v>
      </c>
      <c r="K933" t="str">
        <f t="shared" si="44"/>
        <v>0-1 hours</v>
      </c>
      <c r="L933" t="s">
        <v>16</v>
      </c>
      <c r="M933">
        <v>10</v>
      </c>
      <c r="N933">
        <v>9</v>
      </c>
      <c r="O933">
        <v>4</v>
      </c>
      <c r="P933">
        <v>1</v>
      </c>
    </row>
    <row r="934" spans="1:16" x14ac:dyDescent="0.25">
      <c r="A934">
        <v>16</v>
      </c>
      <c r="B934" t="s">
        <v>14</v>
      </c>
      <c r="C934">
        <v>6.6</v>
      </c>
      <c r="D934" t="str">
        <f t="shared" si="42"/>
        <v>Medium</v>
      </c>
      <c r="E934" t="s">
        <v>12</v>
      </c>
      <c r="F934" s="1">
        <v>6.1</v>
      </c>
      <c r="G934" t="str">
        <f t="shared" si="43"/>
        <v>Low</v>
      </c>
      <c r="H934">
        <v>1.7</v>
      </c>
      <c r="I934">
        <v>2.67</v>
      </c>
      <c r="J934" s="1">
        <v>1.8</v>
      </c>
      <c r="K934" t="str">
        <f t="shared" si="44"/>
        <v>1-2 hours</v>
      </c>
      <c r="L934" t="s">
        <v>13</v>
      </c>
      <c r="M934">
        <v>10</v>
      </c>
      <c r="N934">
        <v>8</v>
      </c>
      <c r="O934">
        <v>2</v>
      </c>
      <c r="P934">
        <v>0</v>
      </c>
    </row>
    <row r="935" spans="1:16" x14ac:dyDescent="0.25">
      <c r="A935">
        <v>14</v>
      </c>
      <c r="B935" t="s">
        <v>14</v>
      </c>
      <c r="C935">
        <v>3.5</v>
      </c>
      <c r="D935" t="str">
        <f t="shared" si="42"/>
        <v>Medium</v>
      </c>
      <c r="E935" t="s">
        <v>18</v>
      </c>
      <c r="F935" s="1">
        <v>5.7</v>
      </c>
      <c r="G935" t="str">
        <f t="shared" si="43"/>
        <v>Low</v>
      </c>
      <c r="H935">
        <v>2.4</v>
      </c>
      <c r="I935">
        <v>3.46</v>
      </c>
      <c r="J935" s="1">
        <v>0.9</v>
      </c>
      <c r="K935" t="str">
        <f t="shared" si="44"/>
        <v>0-1 hours</v>
      </c>
      <c r="L935" t="s">
        <v>13</v>
      </c>
      <c r="M935">
        <v>8</v>
      </c>
      <c r="N935">
        <v>4</v>
      </c>
      <c r="O935">
        <v>10</v>
      </c>
      <c r="P935">
        <v>0</v>
      </c>
    </row>
    <row r="936" spans="1:16" x14ac:dyDescent="0.25">
      <c r="A936">
        <v>14</v>
      </c>
      <c r="B936" t="s">
        <v>14</v>
      </c>
      <c r="C936">
        <v>2.4</v>
      </c>
      <c r="D936" t="str">
        <f t="shared" si="42"/>
        <v>Medium</v>
      </c>
      <c r="E936" t="s">
        <v>15</v>
      </c>
      <c r="F936" s="1">
        <v>6.3</v>
      </c>
      <c r="G936" t="str">
        <f t="shared" si="43"/>
        <v>Low</v>
      </c>
      <c r="H936">
        <v>2.8</v>
      </c>
      <c r="I936">
        <v>2.41</v>
      </c>
      <c r="J936" s="1">
        <v>0.7</v>
      </c>
      <c r="K936" t="str">
        <f t="shared" si="44"/>
        <v>0-1 hours</v>
      </c>
      <c r="L936" t="s">
        <v>13</v>
      </c>
      <c r="M936">
        <v>9</v>
      </c>
      <c r="N936">
        <v>5</v>
      </c>
      <c r="O936">
        <v>2</v>
      </c>
      <c r="P936">
        <v>0</v>
      </c>
    </row>
    <row r="937" spans="1:16" x14ac:dyDescent="0.25">
      <c r="A937">
        <v>13</v>
      </c>
      <c r="B937" t="s">
        <v>11</v>
      </c>
      <c r="C937">
        <v>5.9</v>
      </c>
      <c r="D937" t="str">
        <f t="shared" si="42"/>
        <v>Medium</v>
      </c>
      <c r="E937" t="s">
        <v>12</v>
      </c>
      <c r="F937" s="1">
        <v>4.3</v>
      </c>
      <c r="G937" t="str">
        <f t="shared" si="43"/>
        <v>Low</v>
      </c>
      <c r="H937">
        <v>0.8</v>
      </c>
      <c r="I937">
        <v>3.41</v>
      </c>
      <c r="J937" s="1">
        <v>1.1000000000000001</v>
      </c>
      <c r="K937" t="str">
        <f t="shared" si="44"/>
        <v>1-2 hours</v>
      </c>
      <c r="L937" t="s">
        <v>17</v>
      </c>
      <c r="M937">
        <v>4</v>
      </c>
      <c r="N937">
        <v>3</v>
      </c>
      <c r="O937">
        <v>2</v>
      </c>
      <c r="P937">
        <v>0</v>
      </c>
    </row>
    <row r="938" spans="1:16" x14ac:dyDescent="0.25">
      <c r="A938">
        <v>19</v>
      </c>
      <c r="B938" t="s">
        <v>14</v>
      </c>
      <c r="C938">
        <v>7.4</v>
      </c>
      <c r="D938" t="str">
        <f t="shared" si="42"/>
        <v>High</v>
      </c>
      <c r="E938" t="s">
        <v>12</v>
      </c>
      <c r="F938" s="1">
        <v>5</v>
      </c>
      <c r="G938" t="str">
        <f t="shared" si="43"/>
        <v>Low</v>
      </c>
      <c r="H938">
        <v>2</v>
      </c>
      <c r="I938">
        <v>2.68</v>
      </c>
      <c r="J938" s="1">
        <v>1.2</v>
      </c>
      <c r="K938" t="str">
        <f t="shared" si="44"/>
        <v>1-2 hours</v>
      </c>
      <c r="L938" t="s">
        <v>13</v>
      </c>
      <c r="M938">
        <v>1</v>
      </c>
      <c r="N938">
        <v>6</v>
      </c>
      <c r="O938">
        <v>8</v>
      </c>
      <c r="P938">
        <v>0</v>
      </c>
    </row>
    <row r="939" spans="1:16" x14ac:dyDescent="0.25">
      <c r="A939">
        <v>15</v>
      </c>
      <c r="B939" t="s">
        <v>14</v>
      </c>
      <c r="C939">
        <v>4.5999999999999996</v>
      </c>
      <c r="D939" t="str">
        <f t="shared" si="42"/>
        <v>Medium</v>
      </c>
      <c r="E939" t="s">
        <v>15</v>
      </c>
      <c r="F939" s="1">
        <v>5.3</v>
      </c>
      <c r="G939" t="str">
        <f t="shared" si="43"/>
        <v>Low</v>
      </c>
      <c r="H939">
        <v>3</v>
      </c>
      <c r="I939">
        <v>3.25</v>
      </c>
      <c r="J939" s="1">
        <v>0.2</v>
      </c>
      <c r="K939" t="str">
        <f t="shared" si="44"/>
        <v>0-1 hours</v>
      </c>
      <c r="L939" t="s">
        <v>13</v>
      </c>
      <c r="M939">
        <v>1</v>
      </c>
      <c r="N939">
        <v>8</v>
      </c>
      <c r="O939">
        <v>7</v>
      </c>
      <c r="P939">
        <v>0</v>
      </c>
    </row>
    <row r="940" spans="1:16" x14ac:dyDescent="0.25">
      <c r="A940">
        <v>17</v>
      </c>
      <c r="B940" t="s">
        <v>11</v>
      </c>
      <c r="C940">
        <v>7.3</v>
      </c>
      <c r="D940" t="str">
        <f t="shared" si="42"/>
        <v>High</v>
      </c>
      <c r="E940" t="s">
        <v>12</v>
      </c>
      <c r="F940" s="1">
        <v>5.8</v>
      </c>
      <c r="G940" t="str">
        <f t="shared" si="43"/>
        <v>Low</v>
      </c>
      <c r="H940">
        <v>2.9</v>
      </c>
      <c r="I940">
        <v>3.93</v>
      </c>
      <c r="J940" s="1">
        <v>0.9</v>
      </c>
      <c r="K940" t="str">
        <f t="shared" si="44"/>
        <v>0-1 hours</v>
      </c>
      <c r="L940" t="s">
        <v>17</v>
      </c>
      <c r="M940">
        <v>6</v>
      </c>
      <c r="N940">
        <v>2</v>
      </c>
      <c r="O940">
        <v>9</v>
      </c>
      <c r="P940">
        <v>0</v>
      </c>
    </row>
    <row r="941" spans="1:16" x14ac:dyDescent="0.25">
      <c r="A941">
        <v>17</v>
      </c>
      <c r="B941" t="s">
        <v>14</v>
      </c>
      <c r="C941">
        <v>2.9</v>
      </c>
      <c r="D941" t="str">
        <f t="shared" si="42"/>
        <v>Medium</v>
      </c>
      <c r="E941" t="s">
        <v>15</v>
      </c>
      <c r="F941" s="1">
        <v>4.5</v>
      </c>
      <c r="G941" t="str">
        <f t="shared" si="43"/>
        <v>Low</v>
      </c>
      <c r="H941">
        <v>0.9</v>
      </c>
      <c r="I941">
        <v>3.71</v>
      </c>
      <c r="J941" s="1">
        <v>0.1</v>
      </c>
      <c r="K941" t="str">
        <f t="shared" si="44"/>
        <v>0-1 hours</v>
      </c>
      <c r="L941" t="s">
        <v>13</v>
      </c>
      <c r="M941">
        <v>1</v>
      </c>
      <c r="N941">
        <v>6</v>
      </c>
      <c r="O941">
        <v>4</v>
      </c>
      <c r="P941">
        <v>0</v>
      </c>
    </row>
    <row r="942" spans="1:16" x14ac:dyDescent="0.25">
      <c r="A942">
        <v>19</v>
      </c>
      <c r="B942" t="s">
        <v>11</v>
      </c>
      <c r="C942">
        <v>5.3</v>
      </c>
      <c r="D942" t="str">
        <f t="shared" si="42"/>
        <v>Medium</v>
      </c>
      <c r="E942" t="s">
        <v>15</v>
      </c>
      <c r="F942" s="1">
        <v>8.4</v>
      </c>
      <c r="G942" t="str">
        <f t="shared" si="43"/>
        <v>Normal</v>
      </c>
      <c r="H942">
        <v>0.6</v>
      </c>
      <c r="I942">
        <v>3.08</v>
      </c>
      <c r="J942" s="1">
        <v>0.4</v>
      </c>
      <c r="K942" t="str">
        <f t="shared" si="44"/>
        <v>0-1 hours</v>
      </c>
      <c r="L942" t="s">
        <v>17</v>
      </c>
      <c r="M942">
        <v>9</v>
      </c>
      <c r="N942">
        <v>4</v>
      </c>
      <c r="O942">
        <v>6</v>
      </c>
      <c r="P942">
        <v>0</v>
      </c>
    </row>
    <row r="943" spans="1:16" x14ac:dyDescent="0.25">
      <c r="A943">
        <v>17</v>
      </c>
      <c r="B943" t="s">
        <v>14</v>
      </c>
      <c r="C943">
        <v>7.2</v>
      </c>
      <c r="D943" t="str">
        <f t="shared" si="42"/>
        <v>High</v>
      </c>
      <c r="E943" t="s">
        <v>15</v>
      </c>
      <c r="F943" s="1">
        <v>8.1999999999999993</v>
      </c>
      <c r="G943" t="str">
        <f t="shared" si="43"/>
        <v>Normal</v>
      </c>
      <c r="H943">
        <v>2.9</v>
      </c>
      <c r="I943">
        <v>3.69</v>
      </c>
      <c r="J943" s="1">
        <v>1</v>
      </c>
      <c r="K943" t="str">
        <f t="shared" si="44"/>
        <v>0-1 hours</v>
      </c>
      <c r="L943" t="s">
        <v>16</v>
      </c>
      <c r="M943">
        <v>6</v>
      </c>
      <c r="N943">
        <v>2</v>
      </c>
      <c r="O943">
        <v>5</v>
      </c>
      <c r="P943">
        <v>0</v>
      </c>
    </row>
    <row r="944" spans="1:16" x14ac:dyDescent="0.25">
      <c r="A944">
        <v>15</v>
      </c>
      <c r="B944" t="s">
        <v>14</v>
      </c>
      <c r="C944">
        <v>2.6</v>
      </c>
      <c r="D944" t="str">
        <f t="shared" si="42"/>
        <v>Medium</v>
      </c>
      <c r="E944" t="s">
        <v>18</v>
      </c>
      <c r="F944" s="1">
        <v>7.9</v>
      </c>
      <c r="G944" t="str">
        <f t="shared" si="43"/>
        <v>Low</v>
      </c>
      <c r="H944">
        <v>1.8</v>
      </c>
      <c r="I944">
        <v>3.91</v>
      </c>
      <c r="J944" s="1">
        <v>0.5</v>
      </c>
      <c r="K944" t="str">
        <f t="shared" si="44"/>
        <v>0-1 hours</v>
      </c>
      <c r="L944" t="s">
        <v>17</v>
      </c>
      <c r="M944">
        <v>4</v>
      </c>
      <c r="N944">
        <v>5</v>
      </c>
      <c r="O944">
        <v>6</v>
      </c>
      <c r="P944">
        <v>0</v>
      </c>
    </row>
    <row r="945" spans="1:16" x14ac:dyDescent="0.25">
      <c r="A945">
        <v>15</v>
      </c>
      <c r="B945" t="s">
        <v>11</v>
      </c>
      <c r="C945">
        <v>3.6</v>
      </c>
      <c r="D945" t="str">
        <f t="shared" si="42"/>
        <v>Medium</v>
      </c>
      <c r="E945" t="s">
        <v>12</v>
      </c>
      <c r="F945" s="1">
        <v>4.8</v>
      </c>
      <c r="G945" t="str">
        <f t="shared" si="43"/>
        <v>Low</v>
      </c>
      <c r="H945">
        <v>1</v>
      </c>
      <c r="I945">
        <v>3.71</v>
      </c>
      <c r="J945" s="1">
        <v>1.1000000000000001</v>
      </c>
      <c r="K945" t="str">
        <f t="shared" si="44"/>
        <v>1-2 hours</v>
      </c>
      <c r="L945" t="s">
        <v>17</v>
      </c>
      <c r="M945">
        <v>5</v>
      </c>
      <c r="N945">
        <v>7</v>
      </c>
      <c r="O945">
        <v>4</v>
      </c>
      <c r="P945">
        <v>0</v>
      </c>
    </row>
    <row r="946" spans="1:16" x14ac:dyDescent="0.25">
      <c r="A946">
        <v>19</v>
      </c>
      <c r="B946" t="s">
        <v>11</v>
      </c>
      <c r="C946">
        <v>3.6</v>
      </c>
      <c r="D946" t="str">
        <f t="shared" si="42"/>
        <v>Medium</v>
      </c>
      <c r="E946" t="s">
        <v>12</v>
      </c>
      <c r="F946" s="1">
        <v>6.5</v>
      </c>
      <c r="G946" t="str">
        <f t="shared" si="43"/>
        <v>Low</v>
      </c>
      <c r="H946">
        <v>1.1000000000000001</v>
      </c>
      <c r="I946">
        <v>3.65</v>
      </c>
      <c r="J946" s="1">
        <v>1.1000000000000001</v>
      </c>
      <c r="K946" t="str">
        <f t="shared" si="44"/>
        <v>1-2 hours</v>
      </c>
      <c r="L946" t="s">
        <v>13</v>
      </c>
      <c r="M946">
        <v>5</v>
      </c>
      <c r="N946">
        <v>9</v>
      </c>
      <c r="O946">
        <v>10</v>
      </c>
      <c r="P946">
        <v>0</v>
      </c>
    </row>
    <row r="947" spans="1:16" x14ac:dyDescent="0.25">
      <c r="A947">
        <v>15</v>
      </c>
      <c r="B947" t="s">
        <v>14</v>
      </c>
      <c r="C947">
        <v>1.8</v>
      </c>
      <c r="D947" t="str">
        <f t="shared" si="42"/>
        <v>Low</v>
      </c>
      <c r="E947" t="s">
        <v>12</v>
      </c>
      <c r="F947" s="1">
        <v>5.5</v>
      </c>
      <c r="G947" t="str">
        <f t="shared" si="43"/>
        <v>Low</v>
      </c>
      <c r="H947">
        <v>1.6</v>
      </c>
      <c r="I947">
        <v>3.29</v>
      </c>
      <c r="J947" s="1">
        <v>1.3</v>
      </c>
      <c r="K947" t="str">
        <f t="shared" si="44"/>
        <v>1-2 hours</v>
      </c>
      <c r="L947" t="s">
        <v>17</v>
      </c>
      <c r="M947">
        <v>6</v>
      </c>
      <c r="N947">
        <v>5</v>
      </c>
      <c r="O947">
        <v>9</v>
      </c>
      <c r="P947">
        <v>0</v>
      </c>
    </row>
    <row r="948" spans="1:16" x14ac:dyDescent="0.25">
      <c r="A948">
        <v>14</v>
      </c>
      <c r="B948" t="s">
        <v>14</v>
      </c>
      <c r="C948">
        <v>1.8</v>
      </c>
      <c r="D948" t="str">
        <f t="shared" si="42"/>
        <v>Low</v>
      </c>
      <c r="E948" t="s">
        <v>12</v>
      </c>
      <c r="F948" s="1">
        <v>7.6</v>
      </c>
      <c r="G948" t="str">
        <f t="shared" si="43"/>
        <v>Low</v>
      </c>
      <c r="H948">
        <v>1.2</v>
      </c>
      <c r="I948">
        <v>2.84</v>
      </c>
      <c r="J948" s="1">
        <v>1.1000000000000001</v>
      </c>
      <c r="K948" t="str">
        <f t="shared" si="44"/>
        <v>1-2 hours</v>
      </c>
      <c r="L948" t="s">
        <v>16</v>
      </c>
      <c r="M948">
        <v>10</v>
      </c>
      <c r="N948">
        <v>1</v>
      </c>
      <c r="O948">
        <v>3</v>
      </c>
      <c r="P948">
        <v>0</v>
      </c>
    </row>
    <row r="949" spans="1:16" x14ac:dyDescent="0.25">
      <c r="A949">
        <v>15</v>
      </c>
      <c r="B949" t="s">
        <v>14</v>
      </c>
      <c r="C949">
        <v>7.4</v>
      </c>
      <c r="D949" t="str">
        <f t="shared" si="42"/>
        <v>High</v>
      </c>
      <c r="E949" t="s">
        <v>18</v>
      </c>
      <c r="F949" s="1">
        <v>8.4</v>
      </c>
      <c r="G949" t="str">
        <f t="shared" si="43"/>
        <v>Normal</v>
      </c>
      <c r="H949">
        <v>1.9</v>
      </c>
      <c r="I949">
        <v>3.73</v>
      </c>
      <c r="J949" s="1">
        <v>0.8</v>
      </c>
      <c r="K949" t="str">
        <f t="shared" si="44"/>
        <v>0-1 hours</v>
      </c>
      <c r="L949" t="s">
        <v>16</v>
      </c>
      <c r="M949">
        <v>9</v>
      </c>
      <c r="N949">
        <v>9</v>
      </c>
      <c r="O949">
        <v>4</v>
      </c>
      <c r="P949">
        <v>0</v>
      </c>
    </row>
    <row r="950" spans="1:16" x14ac:dyDescent="0.25">
      <c r="A950">
        <v>15</v>
      </c>
      <c r="B950" t="s">
        <v>11</v>
      </c>
      <c r="C950">
        <v>4.8</v>
      </c>
      <c r="D950" t="str">
        <f t="shared" si="42"/>
        <v>Medium</v>
      </c>
      <c r="E950" t="s">
        <v>18</v>
      </c>
      <c r="F950" s="1">
        <v>4.3</v>
      </c>
      <c r="G950" t="str">
        <f t="shared" si="43"/>
        <v>Low</v>
      </c>
      <c r="H950">
        <v>2.2000000000000002</v>
      </c>
      <c r="I950">
        <v>2.5</v>
      </c>
      <c r="J950" s="1">
        <v>0</v>
      </c>
      <c r="K950" t="str">
        <f t="shared" si="44"/>
        <v>No activity</v>
      </c>
      <c r="L950" t="s">
        <v>17</v>
      </c>
      <c r="M950">
        <v>4</v>
      </c>
      <c r="N950">
        <v>1</v>
      </c>
      <c r="O950">
        <v>4</v>
      </c>
      <c r="P950">
        <v>0</v>
      </c>
    </row>
    <row r="951" spans="1:16" x14ac:dyDescent="0.25">
      <c r="A951">
        <v>18</v>
      </c>
      <c r="B951" t="s">
        <v>11</v>
      </c>
      <c r="C951">
        <v>2.4</v>
      </c>
      <c r="D951" t="str">
        <f t="shared" si="42"/>
        <v>Medium</v>
      </c>
      <c r="E951" t="s">
        <v>18</v>
      </c>
      <c r="F951" s="1">
        <v>6.8</v>
      </c>
      <c r="G951" t="str">
        <f t="shared" si="43"/>
        <v>Low</v>
      </c>
      <c r="H951">
        <v>1</v>
      </c>
      <c r="I951">
        <v>2.86</v>
      </c>
      <c r="J951" s="1">
        <v>1.5</v>
      </c>
      <c r="K951" t="str">
        <f t="shared" si="44"/>
        <v>1-2 hours</v>
      </c>
      <c r="L951" t="s">
        <v>16</v>
      </c>
      <c r="M951">
        <v>9</v>
      </c>
      <c r="N951">
        <v>10</v>
      </c>
      <c r="O951">
        <v>8</v>
      </c>
      <c r="P951">
        <v>0</v>
      </c>
    </row>
    <row r="952" spans="1:16" x14ac:dyDescent="0.25">
      <c r="A952">
        <v>15</v>
      </c>
      <c r="B952" t="s">
        <v>11</v>
      </c>
      <c r="C952">
        <v>5.4</v>
      </c>
      <c r="D952" t="str">
        <f t="shared" si="42"/>
        <v>Medium</v>
      </c>
      <c r="E952" t="s">
        <v>15</v>
      </c>
      <c r="F952" s="1">
        <v>5.2</v>
      </c>
      <c r="G952" t="str">
        <f t="shared" si="43"/>
        <v>Low</v>
      </c>
      <c r="H952">
        <v>0.6</v>
      </c>
      <c r="I952">
        <v>3.65</v>
      </c>
      <c r="J952" s="1">
        <v>1.5</v>
      </c>
      <c r="K952" t="str">
        <f t="shared" si="44"/>
        <v>1-2 hours</v>
      </c>
      <c r="L952" t="s">
        <v>13</v>
      </c>
      <c r="M952">
        <v>7</v>
      </c>
      <c r="N952">
        <v>9</v>
      </c>
      <c r="O952">
        <v>10</v>
      </c>
      <c r="P952">
        <v>1</v>
      </c>
    </row>
    <row r="953" spans="1:16" x14ac:dyDescent="0.25">
      <c r="A953">
        <v>17</v>
      </c>
      <c r="B953" t="s">
        <v>14</v>
      </c>
      <c r="C953">
        <v>3.5</v>
      </c>
      <c r="D953" t="str">
        <f t="shared" si="42"/>
        <v>Medium</v>
      </c>
      <c r="E953" t="s">
        <v>18</v>
      </c>
      <c r="F953" s="1">
        <v>8.5</v>
      </c>
      <c r="G953" t="str">
        <f t="shared" si="43"/>
        <v>Normal</v>
      </c>
      <c r="H953">
        <v>2.2000000000000002</v>
      </c>
      <c r="I953">
        <v>2.11</v>
      </c>
      <c r="J953" s="1">
        <v>1.3</v>
      </c>
      <c r="K953" t="str">
        <f t="shared" si="44"/>
        <v>1-2 hours</v>
      </c>
      <c r="L953" t="s">
        <v>17</v>
      </c>
      <c r="M953">
        <v>8</v>
      </c>
      <c r="N953">
        <v>8</v>
      </c>
      <c r="O953">
        <v>2</v>
      </c>
      <c r="P953">
        <v>0</v>
      </c>
    </row>
    <row r="954" spans="1:16" x14ac:dyDescent="0.25">
      <c r="A954">
        <v>18</v>
      </c>
      <c r="B954" t="s">
        <v>14</v>
      </c>
      <c r="C954">
        <v>3</v>
      </c>
      <c r="D954" t="str">
        <f t="shared" si="42"/>
        <v>Medium</v>
      </c>
      <c r="E954" t="s">
        <v>12</v>
      </c>
      <c r="F954" s="1">
        <v>5</v>
      </c>
      <c r="G954" t="str">
        <f t="shared" si="43"/>
        <v>Low</v>
      </c>
      <c r="H954">
        <v>2</v>
      </c>
      <c r="I954">
        <v>2.4500000000000002</v>
      </c>
      <c r="J954" s="1">
        <v>1.2</v>
      </c>
      <c r="K954" t="str">
        <f t="shared" si="44"/>
        <v>1-2 hours</v>
      </c>
      <c r="L954" t="s">
        <v>17</v>
      </c>
      <c r="M954">
        <v>1</v>
      </c>
      <c r="N954">
        <v>10</v>
      </c>
      <c r="O954">
        <v>7</v>
      </c>
      <c r="P954">
        <v>0</v>
      </c>
    </row>
    <row r="955" spans="1:16" x14ac:dyDescent="0.25">
      <c r="A955">
        <v>13</v>
      </c>
      <c r="B955" t="s">
        <v>14</v>
      </c>
      <c r="C955">
        <v>3.3</v>
      </c>
      <c r="D955" t="str">
        <f t="shared" si="42"/>
        <v>Medium</v>
      </c>
      <c r="E955" t="s">
        <v>18</v>
      </c>
      <c r="F955" s="1">
        <v>7.4</v>
      </c>
      <c r="G955" t="str">
        <f t="shared" si="43"/>
        <v>Low</v>
      </c>
      <c r="H955">
        <v>0.9</v>
      </c>
      <c r="I955">
        <v>2.5299999999999998</v>
      </c>
      <c r="J955" s="1">
        <v>0.2</v>
      </c>
      <c r="K955" t="str">
        <f t="shared" si="44"/>
        <v>0-1 hours</v>
      </c>
      <c r="L955" t="s">
        <v>17</v>
      </c>
      <c r="M955">
        <v>4</v>
      </c>
      <c r="N955">
        <v>10</v>
      </c>
      <c r="O955">
        <v>6</v>
      </c>
      <c r="P955">
        <v>0</v>
      </c>
    </row>
    <row r="956" spans="1:16" x14ac:dyDescent="0.25">
      <c r="A956">
        <v>19</v>
      </c>
      <c r="B956" t="s">
        <v>11</v>
      </c>
      <c r="C956">
        <v>5.5</v>
      </c>
      <c r="D956" t="str">
        <f t="shared" si="42"/>
        <v>Medium</v>
      </c>
      <c r="E956" t="s">
        <v>15</v>
      </c>
      <c r="F956" s="1">
        <v>5.0999999999999996</v>
      </c>
      <c r="G956" t="str">
        <f t="shared" si="43"/>
        <v>Low</v>
      </c>
      <c r="H956">
        <v>2.7</v>
      </c>
      <c r="I956">
        <v>2.56</v>
      </c>
      <c r="J956" s="1">
        <v>1.4</v>
      </c>
      <c r="K956" t="str">
        <f t="shared" si="44"/>
        <v>1-2 hours</v>
      </c>
      <c r="L956" t="s">
        <v>13</v>
      </c>
      <c r="M956">
        <v>2</v>
      </c>
      <c r="N956">
        <v>3</v>
      </c>
      <c r="O956">
        <v>7</v>
      </c>
      <c r="P956">
        <v>0</v>
      </c>
    </row>
    <row r="957" spans="1:16" x14ac:dyDescent="0.25">
      <c r="A957">
        <v>15</v>
      </c>
      <c r="B957" t="s">
        <v>11</v>
      </c>
      <c r="C957">
        <v>3.8</v>
      </c>
      <c r="D957" t="str">
        <f t="shared" si="42"/>
        <v>Medium</v>
      </c>
      <c r="E957" t="s">
        <v>18</v>
      </c>
      <c r="F957" s="1">
        <v>8.3000000000000007</v>
      </c>
      <c r="G957" t="str">
        <f t="shared" si="43"/>
        <v>Normal</v>
      </c>
      <c r="H957">
        <v>2.6</v>
      </c>
      <c r="I957">
        <v>3.19</v>
      </c>
      <c r="J957" s="1">
        <v>2</v>
      </c>
      <c r="K957" t="str">
        <f t="shared" si="44"/>
        <v>1-2 hours</v>
      </c>
      <c r="L957" t="s">
        <v>17</v>
      </c>
      <c r="M957">
        <v>1</v>
      </c>
      <c r="N957">
        <v>2</v>
      </c>
      <c r="O957">
        <v>2</v>
      </c>
      <c r="P957">
        <v>0</v>
      </c>
    </row>
    <row r="958" spans="1:16" x14ac:dyDescent="0.25">
      <c r="A958">
        <v>17</v>
      </c>
      <c r="B958" t="s">
        <v>11</v>
      </c>
      <c r="C958">
        <v>5.7</v>
      </c>
      <c r="D958" t="str">
        <f t="shared" si="42"/>
        <v>Medium</v>
      </c>
      <c r="E958" t="s">
        <v>15</v>
      </c>
      <c r="F958" s="1">
        <v>8.6999999999999993</v>
      </c>
      <c r="G958" t="str">
        <f t="shared" si="43"/>
        <v>Normal</v>
      </c>
      <c r="H958">
        <v>2</v>
      </c>
      <c r="I958">
        <v>3.14</v>
      </c>
      <c r="J958" s="1">
        <v>1.7</v>
      </c>
      <c r="K958" t="str">
        <f t="shared" si="44"/>
        <v>1-2 hours</v>
      </c>
      <c r="L958" t="s">
        <v>13</v>
      </c>
      <c r="M958">
        <v>1</v>
      </c>
      <c r="N958">
        <v>9</v>
      </c>
      <c r="O958">
        <v>8</v>
      </c>
      <c r="P958">
        <v>0</v>
      </c>
    </row>
    <row r="959" spans="1:16" x14ac:dyDescent="0.25">
      <c r="A959">
        <v>13</v>
      </c>
      <c r="B959" t="s">
        <v>14</v>
      </c>
      <c r="C959">
        <v>4.7</v>
      </c>
      <c r="D959" t="str">
        <f t="shared" si="42"/>
        <v>Medium</v>
      </c>
      <c r="E959" t="s">
        <v>15</v>
      </c>
      <c r="F959" s="1">
        <v>8</v>
      </c>
      <c r="G959" t="str">
        <f t="shared" si="43"/>
        <v>Normal</v>
      </c>
      <c r="H959">
        <v>1.1000000000000001</v>
      </c>
      <c r="I959">
        <v>2.37</v>
      </c>
      <c r="J959" s="1">
        <v>0.2</v>
      </c>
      <c r="K959" t="str">
        <f t="shared" si="44"/>
        <v>0-1 hours</v>
      </c>
      <c r="L959" t="s">
        <v>13</v>
      </c>
      <c r="M959">
        <v>5</v>
      </c>
      <c r="N959">
        <v>10</v>
      </c>
      <c r="O959">
        <v>6</v>
      </c>
      <c r="P959">
        <v>0</v>
      </c>
    </row>
    <row r="960" spans="1:16" x14ac:dyDescent="0.25">
      <c r="A960">
        <v>17</v>
      </c>
      <c r="B960" t="s">
        <v>14</v>
      </c>
      <c r="C960">
        <v>4</v>
      </c>
      <c r="D960" t="str">
        <f t="shared" si="42"/>
        <v>Medium</v>
      </c>
      <c r="E960" t="s">
        <v>12</v>
      </c>
      <c r="F960" s="1">
        <v>6.7</v>
      </c>
      <c r="G960" t="str">
        <f t="shared" si="43"/>
        <v>Low</v>
      </c>
      <c r="H960">
        <v>0.6</v>
      </c>
      <c r="I960">
        <v>2.5099999999999998</v>
      </c>
      <c r="J960" s="1">
        <v>1.5</v>
      </c>
      <c r="K960" t="str">
        <f t="shared" si="44"/>
        <v>1-2 hours</v>
      </c>
      <c r="L960" t="s">
        <v>16</v>
      </c>
      <c r="M960">
        <v>9</v>
      </c>
      <c r="N960">
        <v>8</v>
      </c>
      <c r="O960">
        <v>5</v>
      </c>
      <c r="P960">
        <v>0</v>
      </c>
    </row>
    <row r="961" spans="1:16" x14ac:dyDescent="0.25">
      <c r="A961">
        <v>16</v>
      </c>
      <c r="B961" t="s">
        <v>11</v>
      </c>
      <c r="C961">
        <v>5.3</v>
      </c>
      <c r="D961" t="str">
        <f t="shared" si="42"/>
        <v>Medium</v>
      </c>
      <c r="E961" t="s">
        <v>15</v>
      </c>
      <c r="F961" s="1">
        <v>6.8</v>
      </c>
      <c r="G961" t="str">
        <f t="shared" si="43"/>
        <v>Low</v>
      </c>
      <c r="H961">
        <v>0.7</v>
      </c>
      <c r="I961">
        <v>3.9</v>
      </c>
      <c r="J961" s="1">
        <v>1.5</v>
      </c>
      <c r="K961" t="str">
        <f t="shared" si="44"/>
        <v>1-2 hours</v>
      </c>
      <c r="L961" t="s">
        <v>13</v>
      </c>
      <c r="M961">
        <v>5</v>
      </c>
      <c r="N961">
        <v>8</v>
      </c>
      <c r="O961">
        <v>3</v>
      </c>
      <c r="P961">
        <v>0</v>
      </c>
    </row>
    <row r="962" spans="1:16" x14ac:dyDescent="0.25">
      <c r="A962">
        <v>17</v>
      </c>
      <c r="B962" t="s">
        <v>11</v>
      </c>
      <c r="C962">
        <v>3.8</v>
      </c>
      <c r="D962" t="str">
        <f t="shared" ref="D962:D1025" si="45">IF(C962&lt;2,"Low",IF(C962&lt;7,"Medium","High"))</f>
        <v>Medium</v>
      </c>
      <c r="E962" t="s">
        <v>12</v>
      </c>
      <c r="F962" s="1">
        <v>4.7</v>
      </c>
      <c r="G962" t="str">
        <f t="shared" ref="G962:G1025" si="46">IF(F962&gt;=8,"Normal","Low")</f>
        <v>Low</v>
      </c>
      <c r="H962">
        <v>1.2</v>
      </c>
      <c r="I962">
        <v>3.7</v>
      </c>
      <c r="J962" s="1">
        <v>1.4</v>
      </c>
      <c r="K962" t="str">
        <f t="shared" ref="K962:K1025" si="47">IF(J962=0,"No activity",IF(J962&lt;=1,"0-1 hours","1-2 hours"))</f>
        <v>1-2 hours</v>
      </c>
      <c r="L962" t="s">
        <v>16</v>
      </c>
      <c r="M962">
        <v>2</v>
      </c>
      <c r="N962">
        <v>2</v>
      </c>
      <c r="O962">
        <v>5</v>
      </c>
      <c r="P962">
        <v>0</v>
      </c>
    </row>
    <row r="963" spans="1:16" x14ac:dyDescent="0.25">
      <c r="A963">
        <v>16</v>
      </c>
      <c r="B963" t="s">
        <v>14</v>
      </c>
      <c r="C963">
        <v>6</v>
      </c>
      <c r="D963" t="str">
        <f t="shared" si="45"/>
        <v>Medium</v>
      </c>
      <c r="E963" t="s">
        <v>18</v>
      </c>
      <c r="F963" s="1">
        <v>4.0999999999999996</v>
      </c>
      <c r="G963" t="str">
        <f t="shared" si="46"/>
        <v>Low</v>
      </c>
      <c r="H963">
        <v>2.4</v>
      </c>
      <c r="I963">
        <v>2.61</v>
      </c>
      <c r="J963" s="1">
        <v>1.1000000000000001</v>
      </c>
      <c r="K963" t="str">
        <f t="shared" si="47"/>
        <v>1-2 hours</v>
      </c>
      <c r="L963" t="s">
        <v>16</v>
      </c>
      <c r="M963">
        <v>1</v>
      </c>
      <c r="N963">
        <v>6</v>
      </c>
      <c r="O963">
        <v>3</v>
      </c>
      <c r="P963">
        <v>0</v>
      </c>
    </row>
    <row r="964" spans="1:16" x14ac:dyDescent="0.25">
      <c r="A964">
        <v>15</v>
      </c>
      <c r="B964" t="s">
        <v>11</v>
      </c>
      <c r="C964">
        <v>2.2000000000000002</v>
      </c>
      <c r="D964" t="str">
        <f t="shared" si="45"/>
        <v>Medium</v>
      </c>
      <c r="E964" t="s">
        <v>18</v>
      </c>
      <c r="F964" s="1">
        <v>4.5</v>
      </c>
      <c r="G964" t="str">
        <f t="shared" si="46"/>
        <v>Low</v>
      </c>
      <c r="H964">
        <v>1.3</v>
      </c>
      <c r="I964">
        <v>2.63</v>
      </c>
      <c r="J964" s="1">
        <v>1.7</v>
      </c>
      <c r="K964" t="str">
        <f t="shared" si="47"/>
        <v>1-2 hours</v>
      </c>
      <c r="L964" t="s">
        <v>13</v>
      </c>
      <c r="M964">
        <v>10</v>
      </c>
      <c r="N964">
        <v>2</v>
      </c>
      <c r="O964">
        <v>6</v>
      </c>
      <c r="P964">
        <v>0</v>
      </c>
    </row>
    <row r="965" spans="1:16" x14ac:dyDescent="0.25">
      <c r="A965">
        <v>18</v>
      </c>
      <c r="B965" t="s">
        <v>11</v>
      </c>
      <c r="C965">
        <v>4.3</v>
      </c>
      <c r="D965" t="str">
        <f t="shared" si="45"/>
        <v>Medium</v>
      </c>
      <c r="E965" t="s">
        <v>15</v>
      </c>
      <c r="F965" s="1">
        <v>8.4</v>
      </c>
      <c r="G965" t="str">
        <f t="shared" si="46"/>
        <v>Normal</v>
      </c>
      <c r="H965">
        <v>2.1</v>
      </c>
      <c r="I965">
        <v>2.69</v>
      </c>
      <c r="J965" s="1">
        <v>0.2</v>
      </c>
      <c r="K965" t="str">
        <f t="shared" si="47"/>
        <v>0-1 hours</v>
      </c>
      <c r="L965" t="s">
        <v>13</v>
      </c>
      <c r="M965">
        <v>1</v>
      </c>
      <c r="N965">
        <v>10</v>
      </c>
      <c r="O965">
        <v>8</v>
      </c>
      <c r="P965">
        <v>0</v>
      </c>
    </row>
    <row r="966" spans="1:16" x14ac:dyDescent="0.25">
      <c r="A966">
        <v>19</v>
      </c>
      <c r="B966" t="s">
        <v>14</v>
      </c>
      <c r="C966">
        <v>7.5</v>
      </c>
      <c r="D966" t="str">
        <f t="shared" si="45"/>
        <v>High</v>
      </c>
      <c r="E966" t="s">
        <v>15</v>
      </c>
      <c r="F966" s="1">
        <v>4.5</v>
      </c>
      <c r="G966" t="str">
        <f t="shared" si="46"/>
        <v>Low</v>
      </c>
      <c r="H966">
        <v>2.7</v>
      </c>
      <c r="I966">
        <v>2.41</v>
      </c>
      <c r="J966" s="1">
        <v>1</v>
      </c>
      <c r="K966" t="str">
        <f t="shared" si="47"/>
        <v>0-1 hours</v>
      </c>
      <c r="L966" t="s">
        <v>16</v>
      </c>
      <c r="M966">
        <v>3</v>
      </c>
      <c r="N966">
        <v>2</v>
      </c>
      <c r="O966">
        <v>6</v>
      </c>
      <c r="P966">
        <v>0</v>
      </c>
    </row>
    <row r="967" spans="1:16" x14ac:dyDescent="0.25">
      <c r="A967">
        <v>14</v>
      </c>
      <c r="B967" t="s">
        <v>11</v>
      </c>
      <c r="C967">
        <v>5.3</v>
      </c>
      <c r="D967" t="str">
        <f t="shared" si="45"/>
        <v>Medium</v>
      </c>
      <c r="E967" t="s">
        <v>12</v>
      </c>
      <c r="F967" s="1">
        <v>6.8</v>
      </c>
      <c r="G967" t="str">
        <f t="shared" si="46"/>
        <v>Low</v>
      </c>
      <c r="H967">
        <v>2.9</v>
      </c>
      <c r="I967">
        <v>2.1800000000000002</v>
      </c>
      <c r="J967" s="1">
        <v>0.8</v>
      </c>
      <c r="K967" t="str">
        <f t="shared" si="47"/>
        <v>0-1 hours</v>
      </c>
      <c r="L967" t="s">
        <v>17</v>
      </c>
      <c r="M967">
        <v>10</v>
      </c>
      <c r="N967">
        <v>1</v>
      </c>
      <c r="O967">
        <v>6</v>
      </c>
      <c r="P967">
        <v>0</v>
      </c>
    </row>
    <row r="968" spans="1:16" x14ac:dyDescent="0.25">
      <c r="A968">
        <v>14</v>
      </c>
      <c r="B968" t="s">
        <v>14</v>
      </c>
      <c r="C968">
        <v>7</v>
      </c>
      <c r="D968" t="str">
        <f t="shared" si="45"/>
        <v>High</v>
      </c>
      <c r="E968" t="s">
        <v>12</v>
      </c>
      <c r="F968" s="1">
        <v>6.9</v>
      </c>
      <c r="G968" t="str">
        <f t="shared" si="46"/>
        <v>Low</v>
      </c>
      <c r="H968">
        <v>2.1</v>
      </c>
      <c r="I968">
        <v>3.42</v>
      </c>
      <c r="J968" s="1">
        <v>1.1000000000000001</v>
      </c>
      <c r="K968" t="str">
        <f t="shared" si="47"/>
        <v>1-2 hours</v>
      </c>
      <c r="L968" t="s">
        <v>16</v>
      </c>
      <c r="M968">
        <v>10</v>
      </c>
      <c r="N968">
        <v>3</v>
      </c>
      <c r="O968">
        <v>6</v>
      </c>
      <c r="P968">
        <v>0</v>
      </c>
    </row>
    <row r="969" spans="1:16" x14ac:dyDescent="0.25">
      <c r="A969">
        <v>16</v>
      </c>
      <c r="B969" t="s">
        <v>14</v>
      </c>
      <c r="C969">
        <v>2.1</v>
      </c>
      <c r="D969" t="str">
        <f t="shared" si="45"/>
        <v>Medium</v>
      </c>
      <c r="E969" t="s">
        <v>18</v>
      </c>
      <c r="F969" s="1">
        <v>4.5999999999999996</v>
      </c>
      <c r="G969" t="str">
        <f t="shared" si="46"/>
        <v>Low</v>
      </c>
      <c r="H969">
        <v>2</v>
      </c>
      <c r="I969">
        <v>2.5499999999999998</v>
      </c>
      <c r="J969" s="1">
        <v>1.8</v>
      </c>
      <c r="K969" t="str">
        <f t="shared" si="47"/>
        <v>1-2 hours</v>
      </c>
      <c r="L969" t="s">
        <v>16</v>
      </c>
      <c r="M969">
        <v>5</v>
      </c>
      <c r="N969">
        <v>4</v>
      </c>
      <c r="O969">
        <v>4</v>
      </c>
      <c r="P969">
        <v>0</v>
      </c>
    </row>
    <row r="970" spans="1:16" x14ac:dyDescent="0.25">
      <c r="A970">
        <v>18</v>
      </c>
      <c r="B970" t="s">
        <v>14</v>
      </c>
      <c r="C970">
        <v>7.3</v>
      </c>
      <c r="D970" t="str">
        <f t="shared" si="45"/>
        <v>High</v>
      </c>
      <c r="E970" t="s">
        <v>18</v>
      </c>
      <c r="F970" s="1">
        <v>7.3</v>
      </c>
      <c r="G970" t="str">
        <f t="shared" si="46"/>
        <v>Low</v>
      </c>
      <c r="H970">
        <v>2.8</v>
      </c>
      <c r="I970">
        <v>3.3</v>
      </c>
      <c r="J970" s="1">
        <v>0.4</v>
      </c>
      <c r="K970" t="str">
        <f t="shared" si="47"/>
        <v>0-1 hours</v>
      </c>
      <c r="L970" t="s">
        <v>13</v>
      </c>
      <c r="M970">
        <v>1</v>
      </c>
      <c r="N970">
        <v>8</v>
      </c>
      <c r="O970">
        <v>1</v>
      </c>
      <c r="P970">
        <v>0</v>
      </c>
    </row>
    <row r="971" spans="1:16" x14ac:dyDescent="0.25">
      <c r="A971">
        <v>17</v>
      </c>
      <c r="B971" t="s">
        <v>14</v>
      </c>
      <c r="C971">
        <v>2.6</v>
      </c>
      <c r="D971" t="str">
        <f t="shared" si="45"/>
        <v>Medium</v>
      </c>
      <c r="E971" t="s">
        <v>12</v>
      </c>
      <c r="F971" s="1">
        <v>6.5</v>
      </c>
      <c r="G971" t="str">
        <f t="shared" si="46"/>
        <v>Low</v>
      </c>
      <c r="H971">
        <v>1.5</v>
      </c>
      <c r="I971">
        <v>3.8</v>
      </c>
      <c r="J971" s="1">
        <v>0.2</v>
      </c>
      <c r="K971" t="str">
        <f t="shared" si="47"/>
        <v>0-1 hours</v>
      </c>
      <c r="L971" t="s">
        <v>16</v>
      </c>
      <c r="M971">
        <v>8</v>
      </c>
      <c r="N971">
        <v>6</v>
      </c>
      <c r="O971">
        <v>1</v>
      </c>
      <c r="P971">
        <v>0</v>
      </c>
    </row>
    <row r="972" spans="1:16" x14ac:dyDescent="0.25">
      <c r="A972">
        <v>17</v>
      </c>
      <c r="B972" t="s">
        <v>11</v>
      </c>
      <c r="C972">
        <v>5.4</v>
      </c>
      <c r="D972" t="str">
        <f t="shared" si="45"/>
        <v>Medium</v>
      </c>
      <c r="E972" t="s">
        <v>18</v>
      </c>
      <c r="F972" s="1">
        <v>4.9000000000000004</v>
      </c>
      <c r="G972" t="str">
        <f t="shared" si="46"/>
        <v>Low</v>
      </c>
      <c r="H972">
        <v>1.5</v>
      </c>
      <c r="I972">
        <v>3.4</v>
      </c>
      <c r="J972" s="1">
        <v>0</v>
      </c>
      <c r="K972" t="str">
        <f t="shared" si="47"/>
        <v>No activity</v>
      </c>
      <c r="L972" t="s">
        <v>17</v>
      </c>
      <c r="M972">
        <v>2</v>
      </c>
      <c r="N972">
        <v>2</v>
      </c>
      <c r="O972">
        <v>1</v>
      </c>
      <c r="P972">
        <v>0</v>
      </c>
    </row>
    <row r="973" spans="1:16" x14ac:dyDescent="0.25">
      <c r="A973">
        <v>15</v>
      </c>
      <c r="B973" t="s">
        <v>11</v>
      </c>
      <c r="C973">
        <v>6.9</v>
      </c>
      <c r="D973" t="str">
        <f t="shared" si="45"/>
        <v>Medium</v>
      </c>
      <c r="E973" t="s">
        <v>12</v>
      </c>
      <c r="F973" s="1">
        <v>6.2</v>
      </c>
      <c r="G973" t="str">
        <f t="shared" si="46"/>
        <v>Low</v>
      </c>
      <c r="H973">
        <v>0.6</v>
      </c>
      <c r="I973">
        <v>2.37</v>
      </c>
      <c r="J973" s="1">
        <v>0.2</v>
      </c>
      <c r="K973" t="str">
        <f t="shared" si="47"/>
        <v>0-1 hours</v>
      </c>
      <c r="L973" t="s">
        <v>13</v>
      </c>
      <c r="M973">
        <v>3</v>
      </c>
      <c r="N973">
        <v>1</v>
      </c>
      <c r="O973">
        <v>4</v>
      </c>
      <c r="P973">
        <v>0</v>
      </c>
    </row>
    <row r="974" spans="1:16" x14ac:dyDescent="0.25">
      <c r="A974">
        <v>19</v>
      </c>
      <c r="B974" t="s">
        <v>14</v>
      </c>
      <c r="C974">
        <v>3</v>
      </c>
      <c r="D974" t="str">
        <f t="shared" si="45"/>
        <v>Medium</v>
      </c>
      <c r="E974" t="s">
        <v>12</v>
      </c>
      <c r="F974" s="1">
        <v>5.5</v>
      </c>
      <c r="G974" t="str">
        <f t="shared" si="46"/>
        <v>Low</v>
      </c>
      <c r="H974">
        <v>2.1</v>
      </c>
      <c r="I974">
        <v>3.08</v>
      </c>
      <c r="J974" s="1">
        <v>0.7</v>
      </c>
      <c r="K974" t="str">
        <f t="shared" si="47"/>
        <v>0-1 hours</v>
      </c>
      <c r="L974" t="s">
        <v>13</v>
      </c>
      <c r="M974">
        <v>9</v>
      </c>
      <c r="N974">
        <v>3</v>
      </c>
      <c r="O974">
        <v>5</v>
      </c>
      <c r="P974">
        <v>0</v>
      </c>
    </row>
    <row r="975" spans="1:16" x14ac:dyDescent="0.25">
      <c r="A975">
        <v>18</v>
      </c>
      <c r="B975" t="s">
        <v>11</v>
      </c>
      <c r="C975">
        <v>1.3</v>
      </c>
      <c r="D975" t="str">
        <f t="shared" si="45"/>
        <v>Low</v>
      </c>
      <c r="E975" t="s">
        <v>12</v>
      </c>
      <c r="F975" s="1">
        <v>4.5</v>
      </c>
      <c r="G975" t="str">
        <f t="shared" si="46"/>
        <v>Low</v>
      </c>
      <c r="H975">
        <v>2.2999999999999998</v>
      </c>
      <c r="I975">
        <v>2.2799999999999998</v>
      </c>
      <c r="J975" s="1">
        <v>1</v>
      </c>
      <c r="K975" t="str">
        <f t="shared" si="47"/>
        <v>0-1 hours</v>
      </c>
      <c r="L975" t="s">
        <v>13</v>
      </c>
      <c r="M975">
        <v>2</v>
      </c>
      <c r="N975">
        <v>7</v>
      </c>
      <c r="O975">
        <v>8</v>
      </c>
      <c r="P975">
        <v>0</v>
      </c>
    </row>
    <row r="976" spans="1:16" x14ac:dyDescent="0.25">
      <c r="A976">
        <v>15</v>
      </c>
      <c r="B976" t="s">
        <v>11</v>
      </c>
      <c r="C976">
        <v>6.2</v>
      </c>
      <c r="D976" t="str">
        <f t="shared" si="45"/>
        <v>Medium</v>
      </c>
      <c r="E976" t="s">
        <v>18</v>
      </c>
      <c r="F976" s="1">
        <v>6.4</v>
      </c>
      <c r="G976" t="str">
        <f t="shared" si="46"/>
        <v>Low</v>
      </c>
      <c r="H976">
        <v>1.4</v>
      </c>
      <c r="I976">
        <v>3.34</v>
      </c>
      <c r="J976" s="1">
        <v>0.9</v>
      </c>
      <c r="K976" t="str">
        <f t="shared" si="47"/>
        <v>0-1 hours</v>
      </c>
      <c r="L976" t="s">
        <v>16</v>
      </c>
      <c r="M976">
        <v>8</v>
      </c>
      <c r="N976">
        <v>9</v>
      </c>
      <c r="O976">
        <v>9</v>
      </c>
      <c r="P976">
        <v>0</v>
      </c>
    </row>
    <row r="977" spans="1:16" x14ac:dyDescent="0.25">
      <c r="A977">
        <v>15</v>
      </c>
      <c r="B977" t="s">
        <v>11</v>
      </c>
      <c r="C977">
        <v>3.6</v>
      </c>
      <c r="D977" t="str">
        <f t="shared" si="45"/>
        <v>Medium</v>
      </c>
      <c r="E977" t="s">
        <v>12</v>
      </c>
      <c r="F977" s="1">
        <v>5.5</v>
      </c>
      <c r="G977" t="str">
        <f t="shared" si="46"/>
        <v>Low</v>
      </c>
      <c r="H977">
        <v>1.2</v>
      </c>
      <c r="I977">
        <v>2.4900000000000002</v>
      </c>
      <c r="J977" s="1">
        <v>1.9</v>
      </c>
      <c r="K977" t="str">
        <f t="shared" si="47"/>
        <v>1-2 hours</v>
      </c>
      <c r="L977" t="s">
        <v>13</v>
      </c>
      <c r="M977">
        <v>1</v>
      </c>
      <c r="N977">
        <v>4</v>
      </c>
      <c r="O977">
        <v>9</v>
      </c>
      <c r="P977">
        <v>0</v>
      </c>
    </row>
    <row r="978" spans="1:16" x14ac:dyDescent="0.25">
      <c r="A978">
        <v>18</v>
      </c>
      <c r="B978" t="s">
        <v>14</v>
      </c>
      <c r="C978">
        <v>6.5</v>
      </c>
      <c r="D978" t="str">
        <f t="shared" si="45"/>
        <v>Medium</v>
      </c>
      <c r="E978" t="s">
        <v>18</v>
      </c>
      <c r="F978" s="1">
        <v>6.7</v>
      </c>
      <c r="G978" t="str">
        <f t="shared" si="46"/>
        <v>Low</v>
      </c>
      <c r="H978">
        <v>2.5</v>
      </c>
      <c r="I978">
        <v>2.98</v>
      </c>
      <c r="J978" s="1">
        <v>0.1</v>
      </c>
      <c r="K978" t="str">
        <f t="shared" si="47"/>
        <v>0-1 hours</v>
      </c>
      <c r="L978" t="s">
        <v>16</v>
      </c>
      <c r="M978">
        <v>9</v>
      </c>
      <c r="N978">
        <v>7</v>
      </c>
      <c r="O978">
        <v>7</v>
      </c>
      <c r="P978">
        <v>0</v>
      </c>
    </row>
    <row r="979" spans="1:16" x14ac:dyDescent="0.25">
      <c r="A979">
        <v>17</v>
      </c>
      <c r="B979" t="s">
        <v>14</v>
      </c>
      <c r="C979">
        <v>5.3</v>
      </c>
      <c r="D979" t="str">
        <f t="shared" si="45"/>
        <v>Medium</v>
      </c>
      <c r="E979" t="s">
        <v>12</v>
      </c>
      <c r="F979" s="1">
        <v>6.6</v>
      </c>
      <c r="G979" t="str">
        <f t="shared" si="46"/>
        <v>Low</v>
      </c>
      <c r="H979">
        <v>0.6</v>
      </c>
      <c r="I979">
        <v>3.04</v>
      </c>
      <c r="J979" s="1">
        <v>0.1</v>
      </c>
      <c r="K979" t="str">
        <f t="shared" si="47"/>
        <v>0-1 hours</v>
      </c>
      <c r="L979" t="s">
        <v>16</v>
      </c>
      <c r="M979">
        <v>3</v>
      </c>
      <c r="N979">
        <v>7</v>
      </c>
      <c r="O979">
        <v>1</v>
      </c>
      <c r="P979">
        <v>0</v>
      </c>
    </row>
    <row r="980" spans="1:16" x14ac:dyDescent="0.25">
      <c r="A980">
        <v>16</v>
      </c>
      <c r="B980" t="s">
        <v>11</v>
      </c>
      <c r="C980">
        <v>4.5999999999999996</v>
      </c>
      <c r="D980" t="str">
        <f t="shared" si="45"/>
        <v>Medium</v>
      </c>
      <c r="E980" t="s">
        <v>18</v>
      </c>
      <c r="F980" s="1">
        <v>5.3</v>
      </c>
      <c r="G980" t="str">
        <f t="shared" si="46"/>
        <v>Low</v>
      </c>
      <c r="H980">
        <v>1.3</v>
      </c>
      <c r="I980">
        <v>3.76</v>
      </c>
      <c r="J980" s="1">
        <v>0.5</v>
      </c>
      <c r="K980" t="str">
        <f t="shared" si="47"/>
        <v>0-1 hours</v>
      </c>
      <c r="L980" t="s">
        <v>17</v>
      </c>
      <c r="M980">
        <v>3</v>
      </c>
      <c r="N980">
        <v>8</v>
      </c>
      <c r="O980">
        <v>8</v>
      </c>
      <c r="P980">
        <v>0</v>
      </c>
    </row>
    <row r="981" spans="1:16" x14ac:dyDescent="0.25">
      <c r="A981">
        <v>18</v>
      </c>
      <c r="B981" t="s">
        <v>11</v>
      </c>
      <c r="C981">
        <v>7.7</v>
      </c>
      <c r="D981" t="str">
        <f t="shared" si="45"/>
        <v>High</v>
      </c>
      <c r="E981" t="s">
        <v>18</v>
      </c>
      <c r="F981" s="1">
        <v>6.6</v>
      </c>
      <c r="G981" t="str">
        <f t="shared" si="46"/>
        <v>Low</v>
      </c>
      <c r="H981">
        <v>1.6</v>
      </c>
      <c r="I981">
        <v>4</v>
      </c>
      <c r="J981" s="1">
        <v>1.9</v>
      </c>
      <c r="K981" t="str">
        <f t="shared" si="47"/>
        <v>1-2 hours</v>
      </c>
      <c r="L981" t="s">
        <v>16</v>
      </c>
      <c r="M981">
        <v>3</v>
      </c>
      <c r="N981">
        <v>3</v>
      </c>
      <c r="O981">
        <v>9</v>
      </c>
      <c r="P981">
        <v>0</v>
      </c>
    </row>
    <row r="982" spans="1:16" x14ac:dyDescent="0.25">
      <c r="A982">
        <v>19</v>
      </c>
      <c r="B982" t="s">
        <v>11</v>
      </c>
      <c r="C982">
        <v>7.1</v>
      </c>
      <c r="D982" t="str">
        <f t="shared" si="45"/>
        <v>High</v>
      </c>
      <c r="E982" t="s">
        <v>15</v>
      </c>
      <c r="F982" s="1">
        <v>8.4</v>
      </c>
      <c r="G982" t="str">
        <f t="shared" si="46"/>
        <v>Normal</v>
      </c>
      <c r="H982">
        <v>1.8</v>
      </c>
      <c r="I982">
        <v>2.93</v>
      </c>
      <c r="J982" s="1">
        <v>1.3</v>
      </c>
      <c r="K982" t="str">
        <f t="shared" si="47"/>
        <v>1-2 hours</v>
      </c>
      <c r="L982" t="s">
        <v>17</v>
      </c>
      <c r="M982">
        <v>1</v>
      </c>
      <c r="N982">
        <v>6</v>
      </c>
      <c r="O982">
        <v>8</v>
      </c>
      <c r="P982">
        <v>0</v>
      </c>
    </row>
    <row r="983" spans="1:16" x14ac:dyDescent="0.25">
      <c r="A983">
        <v>16</v>
      </c>
      <c r="B983" t="s">
        <v>11</v>
      </c>
      <c r="C983">
        <v>3.9</v>
      </c>
      <c r="D983" t="str">
        <f t="shared" si="45"/>
        <v>Medium</v>
      </c>
      <c r="E983" t="s">
        <v>15</v>
      </c>
      <c r="F983" s="1">
        <v>7.5</v>
      </c>
      <c r="G983" t="str">
        <f t="shared" si="46"/>
        <v>Low</v>
      </c>
      <c r="H983">
        <v>2.1</v>
      </c>
      <c r="I983">
        <v>3.24</v>
      </c>
      <c r="J983" s="1">
        <v>0.9</v>
      </c>
      <c r="K983" t="str">
        <f t="shared" si="47"/>
        <v>0-1 hours</v>
      </c>
      <c r="L983" t="s">
        <v>13</v>
      </c>
      <c r="M983">
        <v>4</v>
      </c>
      <c r="N983">
        <v>3</v>
      </c>
      <c r="O983">
        <v>2</v>
      </c>
      <c r="P983">
        <v>0</v>
      </c>
    </row>
    <row r="984" spans="1:16" x14ac:dyDescent="0.25">
      <c r="A984">
        <v>19</v>
      </c>
      <c r="B984" t="s">
        <v>14</v>
      </c>
      <c r="C984">
        <v>7.5</v>
      </c>
      <c r="D984" t="str">
        <f t="shared" si="45"/>
        <v>High</v>
      </c>
      <c r="E984" t="s">
        <v>15</v>
      </c>
      <c r="F984" s="1">
        <v>8.6</v>
      </c>
      <c r="G984" t="str">
        <f t="shared" si="46"/>
        <v>Normal</v>
      </c>
      <c r="H984">
        <v>0.9</v>
      </c>
      <c r="I984">
        <v>2.25</v>
      </c>
      <c r="J984" s="1">
        <v>1.6</v>
      </c>
      <c r="K984" t="str">
        <f t="shared" si="47"/>
        <v>1-2 hours</v>
      </c>
      <c r="L984" t="s">
        <v>16</v>
      </c>
      <c r="M984">
        <v>9</v>
      </c>
      <c r="N984">
        <v>8</v>
      </c>
      <c r="O984">
        <v>4</v>
      </c>
      <c r="P984">
        <v>0</v>
      </c>
    </row>
    <row r="985" spans="1:16" x14ac:dyDescent="0.25">
      <c r="A985">
        <v>18</v>
      </c>
      <c r="B985" t="s">
        <v>11</v>
      </c>
      <c r="C985">
        <v>5.8</v>
      </c>
      <c r="D985" t="str">
        <f t="shared" si="45"/>
        <v>Medium</v>
      </c>
      <c r="E985" t="s">
        <v>15</v>
      </c>
      <c r="F985" s="1">
        <v>7.5</v>
      </c>
      <c r="G985" t="str">
        <f t="shared" si="46"/>
        <v>Low</v>
      </c>
      <c r="H985">
        <v>2.2000000000000002</v>
      </c>
      <c r="I985">
        <v>3.65</v>
      </c>
      <c r="J985" s="1">
        <v>1.4</v>
      </c>
      <c r="K985" t="str">
        <f t="shared" si="47"/>
        <v>1-2 hours</v>
      </c>
      <c r="L985" t="s">
        <v>17</v>
      </c>
      <c r="M985">
        <v>4</v>
      </c>
      <c r="N985">
        <v>4</v>
      </c>
      <c r="O985">
        <v>8</v>
      </c>
      <c r="P985">
        <v>0</v>
      </c>
    </row>
    <row r="986" spans="1:16" x14ac:dyDescent="0.25">
      <c r="A986">
        <v>17</v>
      </c>
      <c r="B986" t="s">
        <v>14</v>
      </c>
      <c r="C986">
        <v>7.6</v>
      </c>
      <c r="D986" t="str">
        <f t="shared" si="45"/>
        <v>High</v>
      </c>
      <c r="E986" t="s">
        <v>12</v>
      </c>
      <c r="F986" s="1">
        <v>7.3</v>
      </c>
      <c r="G986" t="str">
        <f t="shared" si="46"/>
        <v>Low</v>
      </c>
      <c r="H986">
        <v>2.9</v>
      </c>
      <c r="I986">
        <v>2.99</v>
      </c>
      <c r="J986" s="1">
        <v>1.2</v>
      </c>
      <c r="K986" t="str">
        <f t="shared" si="47"/>
        <v>1-2 hours</v>
      </c>
      <c r="L986" t="s">
        <v>16</v>
      </c>
      <c r="M986">
        <v>4</v>
      </c>
      <c r="N986">
        <v>8</v>
      </c>
      <c r="O986">
        <v>10</v>
      </c>
      <c r="P986">
        <v>0</v>
      </c>
    </row>
    <row r="987" spans="1:16" x14ac:dyDescent="0.25">
      <c r="A987">
        <v>19</v>
      </c>
      <c r="B987" t="s">
        <v>14</v>
      </c>
      <c r="C987">
        <v>4.4000000000000004</v>
      </c>
      <c r="D987" t="str">
        <f t="shared" si="45"/>
        <v>Medium</v>
      </c>
      <c r="E987" t="s">
        <v>12</v>
      </c>
      <c r="F987" s="1">
        <v>7.4</v>
      </c>
      <c r="G987" t="str">
        <f t="shared" si="46"/>
        <v>Low</v>
      </c>
      <c r="H987">
        <v>2.8</v>
      </c>
      <c r="I987">
        <v>3.28</v>
      </c>
      <c r="J987" s="1">
        <v>1.5</v>
      </c>
      <c r="K987" t="str">
        <f t="shared" si="47"/>
        <v>1-2 hours</v>
      </c>
      <c r="L987" t="s">
        <v>17</v>
      </c>
      <c r="M987">
        <v>7</v>
      </c>
      <c r="N987">
        <v>5</v>
      </c>
      <c r="O987">
        <v>4</v>
      </c>
      <c r="P987">
        <v>0</v>
      </c>
    </row>
    <row r="988" spans="1:16" x14ac:dyDescent="0.25">
      <c r="A988">
        <v>19</v>
      </c>
      <c r="B988" t="s">
        <v>11</v>
      </c>
      <c r="C988">
        <v>4.5999999999999996</v>
      </c>
      <c r="D988" t="str">
        <f t="shared" si="45"/>
        <v>Medium</v>
      </c>
      <c r="E988" t="s">
        <v>18</v>
      </c>
      <c r="F988" s="1">
        <v>4.5999999999999996</v>
      </c>
      <c r="G988" t="str">
        <f t="shared" si="46"/>
        <v>Low</v>
      </c>
      <c r="H988">
        <v>2.5</v>
      </c>
      <c r="I988">
        <v>2.4</v>
      </c>
      <c r="J988" s="1">
        <v>1</v>
      </c>
      <c r="K988" t="str">
        <f t="shared" si="47"/>
        <v>0-1 hours</v>
      </c>
      <c r="L988" t="s">
        <v>16</v>
      </c>
      <c r="M988">
        <v>10</v>
      </c>
      <c r="N988">
        <v>10</v>
      </c>
      <c r="O988">
        <v>8</v>
      </c>
      <c r="P988">
        <v>0</v>
      </c>
    </row>
    <row r="989" spans="1:16" x14ac:dyDescent="0.25">
      <c r="A989">
        <v>18</v>
      </c>
      <c r="B989" t="s">
        <v>14</v>
      </c>
      <c r="C989">
        <v>7</v>
      </c>
      <c r="D989" t="str">
        <f t="shared" si="45"/>
        <v>High</v>
      </c>
      <c r="E989" t="s">
        <v>18</v>
      </c>
      <c r="F989" s="1">
        <v>8.9</v>
      </c>
      <c r="G989" t="str">
        <f t="shared" si="46"/>
        <v>Normal</v>
      </c>
      <c r="H989">
        <v>0.7</v>
      </c>
      <c r="I989">
        <v>2.79</v>
      </c>
      <c r="J989" s="1">
        <v>0.4</v>
      </c>
      <c r="K989" t="str">
        <f t="shared" si="47"/>
        <v>0-1 hours</v>
      </c>
      <c r="L989" t="s">
        <v>17</v>
      </c>
      <c r="M989">
        <v>2</v>
      </c>
      <c r="N989">
        <v>10</v>
      </c>
      <c r="O989">
        <v>8</v>
      </c>
      <c r="P989">
        <v>0</v>
      </c>
    </row>
    <row r="990" spans="1:16" x14ac:dyDescent="0.25">
      <c r="A990">
        <v>16</v>
      </c>
      <c r="B990" t="s">
        <v>14</v>
      </c>
      <c r="C990">
        <v>3.6</v>
      </c>
      <c r="D990" t="str">
        <f t="shared" si="45"/>
        <v>Medium</v>
      </c>
      <c r="E990" t="s">
        <v>15</v>
      </c>
      <c r="F990" s="1">
        <v>8.8000000000000007</v>
      </c>
      <c r="G990" t="str">
        <f t="shared" si="46"/>
        <v>Normal</v>
      </c>
      <c r="H990">
        <v>1.2</v>
      </c>
      <c r="I990">
        <v>2.3199999999999998</v>
      </c>
      <c r="J990" s="1">
        <v>0.5</v>
      </c>
      <c r="K990" t="str">
        <f t="shared" si="47"/>
        <v>0-1 hours</v>
      </c>
      <c r="L990" t="s">
        <v>13</v>
      </c>
      <c r="M990">
        <v>2</v>
      </c>
      <c r="N990">
        <v>4</v>
      </c>
      <c r="O990">
        <v>5</v>
      </c>
      <c r="P990">
        <v>0</v>
      </c>
    </row>
    <row r="991" spans="1:16" x14ac:dyDescent="0.25">
      <c r="A991">
        <v>15</v>
      </c>
      <c r="B991" t="s">
        <v>14</v>
      </c>
      <c r="C991">
        <v>3</v>
      </c>
      <c r="D991" t="str">
        <f t="shared" si="45"/>
        <v>Medium</v>
      </c>
      <c r="E991" t="s">
        <v>15</v>
      </c>
      <c r="F991" s="1">
        <v>6.6</v>
      </c>
      <c r="G991" t="str">
        <f t="shared" si="46"/>
        <v>Low</v>
      </c>
      <c r="H991">
        <v>0.9</v>
      </c>
      <c r="I991">
        <v>2.69</v>
      </c>
      <c r="J991" s="1">
        <v>1.8</v>
      </c>
      <c r="K991" t="str">
        <f t="shared" si="47"/>
        <v>1-2 hours</v>
      </c>
      <c r="L991" t="s">
        <v>17</v>
      </c>
      <c r="M991">
        <v>1</v>
      </c>
      <c r="N991">
        <v>2</v>
      </c>
      <c r="O991">
        <v>2</v>
      </c>
      <c r="P991">
        <v>0</v>
      </c>
    </row>
    <row r="992" spans="1:16" x14ac:dyDescent="0.25">
      <c r="A992">
        <v>19</v>
      </c>
      <c r="B992" t="s">
        <v>14</v>
      </c>
      <c r="C992">
        <v>7.2</v>
      </c>
      <c r="D992" t="str">
        <f t="shared" si="45"/>
        <v>High</v>
      </c>
      <c r="E992" t="s">
        <v>12</v>
      </c>
      <c r="F992" s="1">
        <v>6.4</v>
      </c>
      <c r="G992" t="str">
        <f t="shared" si="46"/>
        <v>Low</v>
      </c>
      <c r="H992">
        <v>2.9</v>
      </c>
      <c r="I992">
        <v>3.82</v>
      </c>
      <c r="J992" s="1">
        <v>1</v>
      </c>
      <c r="K992" t="str">
        <f t="shared" si="47"/>
        <v>0-1 hours</v>
      </c>
      <c r="L992" t="s">
        <v>17</v>
      </c>
      <c r="M992">
        <v>5</v>
      </c>
      <c r="N992">
        <v>4</v>
      </c>
      <c r="O992">
        <v>5</v>
      </c>
      <c r="P992">
        <v>0</v>
      </c>
    </row>
    <row r="993" spans="1:16" x14ac:dyDescent="0.25">
      <c r="A993">
        <v>15</v>
      </c>
      <c r="B993" t="s">
        <v>14</v>
      </c>
      <c r="C993">
        <v>5.6</v>
      </c>
      <c r="D993" t="str">
        <f t="shared" si="45"/>
        <v>Medium</v>
      </c>
      <c r="E993" t="s">
        <v>18</v>
      </c>
      <c r="F993" s="1">
        <v>5.9</v>
      </c>
      <c r="G993" t="str">
        <f t="shared" si="46"/>
        <v>Low</v>
      </c>
      <c r="H993">
        <v>2</v>
      </c>
      <c r="I993">
        <v>2.97</v>
      </c>
      <c r="J993" s="1">
        <v>0.6</v>
      </c>
      <c r="K993" t="str">
        <f t="shared" si="47"/>
        <v>0-1 hours</v>
      </c>
      <c r="L993" t="s">
        <v>13</v>
      </c>
      <c r="M993">
        <v>9</v>
      </c>
      <c r="N993">
        <v>3</v>
      </c>
      <c r="O993">
        <v>3</v>
      </c>
      <c r="P993">
        <v>0</v>
      </c>
    </row>
    <row r="994" spans="1:16" x14ac:dyDescent="0.25">
      <c r="A994">
        <v>14</v>
      </c>
      <c r="B994" t="s">
        <v>14</v>
      </c>
      <c r="C994">
        <v>2</v>
      </c>
      <c r="D994" t="str">
        <f t="shared" si="45"/>
        <v>Medium</v>
      </c>
      <c r="E994" t="s">
        <v>12</v>
      </c>
      <c r="F994" s="1">
        <v>4.7</v>
      </c>
      <c r="G994" t="str">
        <f t="shared" si="46"/>
        <v>Low</v>
      </c>
      <c r="H994">
        <v>1.1000000000000001</v>
      </c>
      <c r="I994">
        <v>2.5099999999999998</v>
      </c>
      <c r="J994" s="1">
        <v>0</v>
      </c>
      <c r="K994" t="str">
        <f t="shared" si="47"/>
        <v>No activity</v>
      </c>
      <c r="L994" t="s">
        <v>16</v>
      </c>
      <c r="M994">
        <v>2</v>
      </c>
      <c r="N994">
        <v>9</v>
      </c>
      <c r="O994">
        <v>4</v>
      </c>
      <c r="P994">
        <v>0</v>
      </c>
    </row>
    <row r="995" spans="1:16" x14ac:dyDescent="0.25">
      <c r="A995">
        <v>14</v>
      </c>
      <c r="B995" t="s">
        <v>14</v>
      </c>
      <c r="C995">
        <v>4.4000000000000004</v>
      </c>
      <c r="D995" t="str">
        <f t="shared" si="45"/>
        <v>Medium</v>
      </c>
      <c r="E995" t="s">
        <v>15</v>
      </c>
      <c r="F995" s="1">
        <v>5.0999999999999996</v>
      </c>
      <c r="G995" t="str">
        <f t="shared" si="46"/>
        <v>Low</v>
      </c>
      <c r="H995">
        <v>2.8</v>
      </c>
      <c r="I995">
        <v>2.2200000000000002</v>
      </c>
      <c r="J995" s="1">
        <v>0.5</v>
      </c>
      <c r="K995" t="str">
        <f t="shared" si="47"/>
        <v>0-1 hours</v>
      </c>
      <c r="L995" t="s">
        <v>16</v>
      </c>
      <c r="M995">
        <v>5</v>
      </c>
      <c r="N995">
        <v>4</v>
      </c>
      <c r="O995">
        <v>1</v>
      </c>
      <c r="P995">
        <v>0</v>
      </c>
    </row>
    <row r="996" spans="1:16" x14ac:dyDescent="0.25">
      <c r="A996">
        <v>13</v>
      </c>
      <c r="B996" t="s">
        <v>11</v>
      </c>
      <c r="C996">
        <v>3.5</v>
      </c>
      <c r="D996" t="str">
        <f t="shared" si="45"/>
        <v>Medium</v>
      </c>
      <c r="E996" t="s">
        <v>15</v>
      </c>
      <c r="F996" s="1">
        <v>5.8</v>
      </c>
      <c r="G996" t="str">
        <f t="shared" si="46"/>
        <v>Low</v>
      </c>
      <c r="H996">
        <v>1.2</v>
      </c>
      <c r="I996">
        <v>2.44</v>
      </c>
      <c r="J996" s="1">
        <v>1.5</v>
      </c>
      <c r="K996" t="str">
        <f t="shared" si="47"/>
        <v>1-2 hours</v>
      </c>
      <c r="L996" t="s">
        <v>17</v>
      </c>
      <c r="M996">
        <v>4</v>
      </c>
      <c r="N996">
        <v>1</v>
      </c>
      <c r="O996">
        <v>8</v>
      </c>
      <c r="P996">
        <v>0</v>
      </c>
    </row>
    <row r="997" spans="1:16" x14ac:dyDescent="0.25">
      <c r="A997">
        <v>13</v>
      </c>
      <c r="B997" t="s">
        <v>11</v>
      </c>
      <c r="C997">
        <v>6.5</v>
      </c>
      <c r="D997" t="str">
        <f t="shared" si="45"/>
        <v>Medium</v>
      </c>
      <c r="E997" t="s">
        <v>12</v>
      </c>
      <c r="F997" s="1">
        <v>6.5</v>
      </c>
      <c r="G997" t="str">
        <f t="shared" si="46"/>
        <v>Low</v>
      </c>
      <c r="H997">
        <v>1.5</v>
      </c>
      <c r="I997">
        <v>2.0499999999999998</v>
      </c>
      <c r="J997" s="1">
        <v>0.5</v>
      </c>
      <c r="K997" t="str">
        <f t="shared" si="47"/>
        <v>0-1 hours</v>
      </c>
      <c r="L997" t="s">
        <v>13</v>
      </c>
      <c r="M997">
        <v>3</v>
      </c>
      <c r="N997">
        <v>9</v>
      </c>
      <c r="O997">
        <v>4</v>
      </c>
      <c r="P997">
        <v>0</v>
      </c>
    </row>
    <row r="998" spans="1:16" x14ac:dyDescent="0.25">
      <c r="A998">
        <v>14</v>
      </c>
      <c r="B998" t="s">
        <v>11</v>
      </c>
      <c r="C998">
        <v>4.4000000000000004</v>
      </c>
      <c r="D998" t="str">
        <f t="shared" si="45"/>
        <v>Medium</v>
      </c>
      <c r="E998" t="s">
        <v>12</v>
      </c>
      <c r="F998" s="1">
        <v>8.8000000000000007</v>
      </c>
      <c r="G998" t="str">
        <f t="shared" si="46"/>
        <v>Normal</v>
      </c>
      <c r="H998">
        <v>2.2999999999999998</v>
      </c>
      <c r="I998">
        <v>2.73</v>
      </c>
      <c r="J998" s="1">
        <v>0.3</v>
      </c>
      <c r="K998" t="str">
        <f t="shared" si="47"/>
        <v>0-1 hours</v>
      </c>
      <c r="L998" t="s">
        <v>17</v>
      </c>
      <c r="M998">
        <v>9</v>
      </c>
      <c r="N998">
        <v>2</v>
      </c>
      <c r="O998">
        <v>2</v>
      </c>
      <c r="P998">
        <v>0</v>
      </c>
    </row>
    <row r="999" spans="1:16" x14ac:dyDescent="0.25">
      <c r="A999">
        <v>17</v>
      </c>
      <c r="B999" t="s">
        <v>14</v>
      </c>
      <c r="C999">
        <v>3.1</v>
      </c>
      <c r="D999" t="str">
        <f t="shared" si="45"/>
        <v>Medium</v>
      </c>
      <c r="E999" t="s">
        <v>15</v>
      </c>
      <c r="F999" s="1">
        <v>4.2</v>
      </c>
      <c r="G999" t="str">
        <f t="shared" si="46"/>
        <v>Low</v>
      </c>
      <c r="H999">
        <v>0.8</v>
      </c>
      <c r="I999">
        <v>2.2799999999999998</v>
      </c>
      <c r="J999" s="1">
        <v>1.6</v>
      </c>
      <c r="K999" t="str">
        <f t="shared" si="47"/>
        <v>1-2 hours</v>
      </c>
      <c r="L999" t="s">
        <v>17</v>
      </c>
      <c r="M999">
        <v>4</v>
      </c>
      <c r="N999">
        <v>9</v>
      </c>
      <c r="O999">
        <v>6</v>
      </c>
      <c r="P999">
        <v>0</v>
      </c>
    </row>
    <row r="1000" spans="1:16" x14ac:dyDescent="0.25">
      <c r="A1000">
        <v>15</v>
      </c>
      <c r="B1000" t="s">
        <v>11</v>
      </c>
      <c r="C1000">
        <v>7.8</v>
      </c>
      <c r="D1000" t="str">
        <f t="shared" si="45"/>
        <v>High</v>
      </c>
      <c r="E1000" t="s">
        <v>18</v>
      </c>
      <c r="F1000" s="1">
        <v>4.2</v>
      </c>
      <c r="G1000" t="str">
        <f t="shared" si="46"/>
        <v>Low</v>
      </c>
      <c r="H1000">
        <v>2.1</v>
      </c>
      <c r="I1000">
        <v>3.42</v>
      </c>
      <c r="J1000" s="1">
        <v>0</v>
      </c>
      <c r="K1000" t="str">
        <f t="shared" si="47"/>
        <v>No activity</v>
      </c>
      <c r="L1000" t="s">
        <v>13</v>
      </c>
      <c r="M1000">
        <v>10</v>
      </c>
      <c r="N1000">
        <v>7</v>
      </c>
      <c r="O1000">
        <v>9</v>
      </c>
      <c r="P1000">
        <v>1</v>
      </c>
    </row>
    <row r="1001" spans="1:16" x14ac:dyDescent="0.25">
      <c r="A1001">
        <v>19</v>
      </c>
      <c r="B1001" t="s">
        <v>14</v>
      </c>
      <c r="C1001">
        <v>2.1</v>
      </c>
      <c r="D1001" t="str">
        <f t="shared" si="45"/>
        <v>Medium</v>
      </c>
      <c r="E1001" t="s">
        <v>18</v>
      </c>
      <c r="F1001" s="1">
        <v>4.4000000000000004</v>
      </c>
      <c r="G1001" t="str">
        <f t="shared" si="46"/>
        <v>Low</v>
      </c>
      <c r="H1001">
        <v>2.2000000000000002</v>
      </c>
      <c r="I1001">
        <v>2.4700000000000002</v>
      </c>
      <c r="J1001" s="1">
        <v>0.7</v>
      </c>
      <c r="K1001" t="str">
        <f t="shared" si="47"/>
        <v>0-1 hours</v>
      </c>
      <c r="L1001" t="s">
        <v>16</v>
      </c>
      <c r="M1001">
        <v>9</v>
      </c>
      <c r="N1001">
        <v>5</v>
      </c>
      <c r="O1001">
        <v>6</v>
      </c>
      <c r="P1001">
        <v>0</v>
      </c>
    </row>
    <row r="1002" spans="1:16" x14ac:dyDescent="0.25">
      <c r="A1002">
        <v>14</v>
      </c>
      <c r="B1002" t="s">
        <v>14</v>
      </c>
      <c r="C1002">
        <v>5.5</v>
      </c>
      <c r="D1002" t="str">
        <f t="shared" si="45"/>
        <v>Medium</v>
      </c>
      <c r="E1002" t="s">
        <v>18</v>
      </c>
      <c r="F1002" s="1">
        <v>5.7</v>
      </c>
      <c r="G1002" t="str">
        <f t="shared" si="46"/>
        <v>Low</v>
      </c>
      <c r="H1002">
        <v>2.2999999999999998</v>
      </c>
      <c r="I1002">
        <v>3.05</v>
      </c>
      <c r="J1002" s="1">
        <v>1.3</v>
      </c>
      <c r="K1002" t="str">
        <f t="shared" si="47"/>
        <v>1-2 hours</v>
      </c>
      <c r="L1002" t="s">
        <v>17</v>
      </c>
      <c r="M1002">
        <v>7</v>
      </c>
      <c r="N1002">
        <v>8</v>
      </c>
      <c r="O1002">
        <v>5</v>
      </c>
      <c r="P1002">
        <v>1</v>
      </c>
    </row>
    <row r="1003" spans="1:16" x14ac:dyDescent="0.25">
      <c r="A1003">
        <v>15</v>
      </c>
      <c r="B1003" t="s">
        <v>14</v>
      </c>
      <c r="C1003">
        <v>5.7</v>
      </c>
      <c r="D1003" t="str">
        <f t="shared" si="45"/>
        <v>Medium</v>
      </c>
      <c r="E1003" t="s">
        <v>12</v>
      </c>
      <c r="F1003" s="1">
        <v>7.2</v>
      </c>
      <c r="G1003" t="str">
        <f t="shared" si="46"/>
        <v>Low</v>
      </c>
      <c r="H1003">
        <v>2.4</v>
      </c>
      <c r="I1003">
        <v>2.1800000000000002</v>
      </c>
      <c r="J1003" s="1">
        <v>1.6</v>
      </c>
      <c r="K1003" t="str">
        <f t="shared" si="47"/>
        <v>1-2 hours</v>
      </c>
      <c r="L1003" t="s">
        <v>17</v>
      </c>
      <c r="M1003">
        <v>5</v>
      </c>
      <c r="N1003">
        <v>1</v>
      </c>
      <c r="O1003">
        <v>7</v>
      </c>
      <c r="P1003">
        <v>0</v>
      </c>
    </row>
    <row r="1004" spans="1:16" x14ac:dyDescent="0.25">
      <c r="A1004">
        <v>15</v>
      </c>
      <c r="B1004" t="s">
        <v>14</v>
      </c>
      <c r="C1004">
        <v>5</v>
      </c>
      <c r="D1004" t="str">
        <f t="shared" si="45"/>
        <v>Medium</v>
      </c>
      <c r="E1004" t="s">
        <v>15</v>
      </c>
      <c r="F1004" s="1">
        <v>6.3</v>
      </c>
      <c r="G1004" t="str">
        <f t="shared" si="46"/>
        <v>Low</v>
      </c>
      <c r="H1004">
        <v>1.5</v>
      </c>
      <c r="I1004">
        <v>2.67</v>
      </c>
      <c r="J1004" s="1">
        <v>1.1000000000000001</v>
      </c>
      <c r="K1004" t="str">
        <f t="shared" si="47"/>
        <v>1-2 hours</v>
      </c>
      <c r="L1004" t="s">
        <v>16</v>
      </c>
      <c r="M1004">
        <v>6</v>
      </c>
      <c r="N1004">
        <v>2</v>
      </c>
      <c r="O1004">
        <v>5</v>
      </c>
      <c r="P1004">
        <v>0</v>
      </c>
    </row>
    <row r="1005" spans="1:16" x14ac:dyDescent="0.25">
      <c r="A1005">
        <v>16</v>
      </c>
      <c r="B1005" t="s">
        <v>14</v>
      </c>
      <c r="C1005">
        <v>7.5</v>
      </c>
      <c r="D1005" t="str">
        <f t="shared" si="45"/>
        <v>High</v>
      </c>
      <c r="E1005" t="s">
        <v>18</v>
      </c>
      <c r="F1005" s="1">
        <v>4</v>
      </c>
      <c r="G1005" t="str">
        <f t="shared" si="46"/>
        <v>Low</v>
      </c>
      <c r="H1005">
        <v>0.5</v>
      </c>
      <c r="I1005">
        <v>3.72</v>
      </c>
      <c r="J1005" s="1">
        <v>1.1000000000000001</v>
      </c>
      <c r="K1005" t="str">
        <f t="shared" si="47"/>
        <v>1-2 hours</v>
      </c>
      <c r="L1005" t="s">
        <v>17</v>
      </c>
      <c r="M1005">
        <v>4</v>
      </c>
      <c r="N1005">
        <v>5</v>
      </c>
      <c r="O1005">
        <v>7</v>
      </c>
      <c r="P1005">
        <v>0</v>
      </c>
    </row>
    <row r="1006" spans="1:16" x14ac:dyDescent="0.25">
      <c r="A1006">
        <v>17</v>
      </c>
      <c r="B1006" t="s">
        <v>11</v>
      </c>
      <c r="C1006">
        <v>2.2000000000000002</v>
      </c>
      <c r="D1006" t="str">
        <f t="shared" si="45"/>
        <v>Medium</v>
      </c>
      <c r="E1006" t="s">
        <v>15</v>
      </c>
      <c r="F1006" s="1">
        <v>7.1</v>
      </c>
      <c r="G1006" t="str">
        <f t="shared" si="46"/>
        <v>Low</v>
      </c>
      <c r="H1006">
        <v>1.1000000000000001</v>
      </c>
      <c r="I1006">
        <v>2.5</v>
      </c>
      <c r="J1006" s="1">
        <v>1.5</v>
      </c>
      <c r="K1006" t="str">
        <f t="shared" si="47"/>
        <v>1-2 hours</v>
      </c>
      <c r="L1006" t="s">
        <v>13</v>
      </c>
      <c r="M1006">
        <v>2</v>
      </c>
      <c r="N1006">
        <v>1</v>
      </c>
      <c r="O1006">
        <v>2</v>
      </c>
      <c r="P1006">
        <v>0</v>
      </c>
    </row>
    <row r="1007" spans="1:16" x14ac:dyDescent="0.25">
      <c r="A1007">
        <v>15</v>
      </c>
      <c r="B1007" t="s">
        <v>14</v>
      </c>
      <c r="C1007">
        <v>7.3</v>
      </c>
      <c r="D1007" t="str">
        <f t="shared" si="45"/>
        <v>High</v>
      </c>
      <c r="E1007" t="s">
        <v>12</v>
      </c>
      <c r="F1007" s="1">
        <v>4.0999999999999996</v>
      </c>
      <c r="G1007" t="str">
        <f t="shared" si="46"/>
        <v>Low</v>
      </c>
      <c r="H1007">
        <v>2.1</v>
      </c>
      <c r="I1007">
        <v>2.87</v>
      </c>
      <c r="J1007" s="1">
        <v>0.4</v>
      </c>
      <c r="K1007" t="str">
        <f t="shared" si="47"/>
        <v>0-1 hours</v>
      </c>
      <c r="L1007" t="s">
        <v>13</v>
      </c>
      <c r="M1007">
        <v>10</v>
      </c>
      <c r="N1007">
        <v>10</v>
      </c>
      <c r="O1007">
        <v>1</v>
      </c>
      <c r="P1007">
        <v>1</v>
      </c>
    </row>
    <row r="1008" spans="1:16" x14ac:dyDescent="0.25">
      <c r="A1008">
        <v>17</v>
      </c>
      <c r="B1008" t="s">
        <v>11</v>
      </c>
      <c r="C1008">
        <v>2.7</v>
      </c>
      <c r="D1008" t="str">
        <f t="shared" si="45"/>
        <v>Medium</v>
      </c>
      <c r="E1008" t="s">
        <v>12</v>
      </c>
      <c r="F1008" s="1">
        <v>7.5</v>
      </c>
      <c r="G1008" t="str">
        <f t="shared" si="46"/>
        <v>Low</v>
      </c>
      <c r="H1008">
        <v>1.5</v>
      </c>
      <c r="I1008">
        <v>3.23</v>
      </c>
      <c r="J1008" s="1">
        <v>1.4</v>
      </c>
      <c r="K1008" t="str">
        <f t="shared" si="47"/>
        <v>1-2 hours</v>
      </c>
      <c r="L1008" t="s">
        <v>13</v>
      </c>
      <c r="M1008">
        <v>5</v>
      </c>
      <c r="N1008">
        <v>7</v>
      </c>
      <c r="O1008">
        <v>3</v>
      </c>
      <c r="P1008">
        <v>0</v>
      </c>
    </row>
    <row r="1009" spans="1:16" x14ac:dyDescent="0.25">
      <c r="A1009">
        <v>18</v>
      </c>
      <c r="B1009" t="s">
        <v>11</v>
      </c>
      <c r="C1009">
        <v>1.6</v>
      </c>
      <c r="D1009" t="str">
        <f t="shared" si="45"/>
        <v>Low</v>
      </c>
      <c r="E1009" t="s">
        <v>12</v>
      </c>
      <c r="F1009" s="1">
        <v>8.6</v>
      </c>
      <c r="G1009" t="str">
        <f t="shared" si="46"/>
        <v>Normal</v>
      </c>
      <c r="H1009">
        <v>2.6</v>
      </c>
      <c r="I1009">
        <v>3.53</v>
      </c>
      <c r="J1009" s="1">
        <v>0.1</v>
      </c>
      <c r="K1009" t="str">
        <f t="shared" si="47"/>
        <v>0-1 hours</v>
      </c>
      <c r="L1009" t="s">
        <v>17</v>
      </c>
      <c r="M1009">
        <v>8</v>
      </c>
      <c r="N1009">
        <v>8</v>
      </c>
      <c r="O1009">
        <v>10</v>
      </c>
      <c r="P1009">
        <v>0</v>
      </c>
    </row>
    <row r="1010" spans="1:16" x14ac:dyDescent="0.25">
      <c r="A1010">
        <v>14</v>
      </c>
      <c r="B1010" t="s">
        <v>11</v>
      </c>
      <c r="C1010">
        <v>4</v>
      </c>
      <c r="D1010" t="str">
        <f t="shared" si="45"/>
        <v>Medium</v>
      </c>
      <c r="E1010" t="s">
        <v>15</v>
      </c>
      <c r="F1010" s="1">
        <v>4.9000000000000004</v>
      </c>
      <c r="G1010" t="str">
        <f t="shared" si="46"/>
        <v>Low</v>
      </c>
      <c r="H1010">
        <v>2.7</v>
      </c>
      <c r="I1010">
        <v>2.2999999999999998</v>
      </c>
      <c r="J1010" s="1">
        <v>0.5</v>
      </c>
      <c r="K1010" t="str">
        <f t="shared" si="47"/>
        <v>0-1 hours</v>
      </c>
      <c r="L1010" t="s">
        <v>16</v>
      </c>
      <c r="M1010">
        <v>7</v>
      </c>
      <c r="N1010">
        <v>8</v>
      </c>
      <c r="O1010">
        <v>6</v>
      </c>
      <c r="P1010">
        <v>0</v>
      </c>
    </row>
    <row r="1011" spans="1:16" x14ac:dyDescent="0.25">
      <c r="A1011">
        <v>18</v>
      </c>
      <c r="B1011" t="s">
        <v>14</v>
      </c>
      <c r="C1011">
        <v>6.3</v>
      </c>
      <c r="D1011" t="str">
        <f t="shared" si="45"/>
        <v>Medium</v>
      </c>
      <c r="E1011" t="s">
        <v>18</v>
      </c>
      <c r="F1011" s="1">
        <v>4.7</v>
      </c>
      <c r="G1011" t="str">
        <f t="shared" si="46"/>
        <v>Low</v>
      </c>
      <c r="H1011">
        <v>2.4</v>
      </c>
      <c r="I1011">
        <v>2.2999999999999998</v>
      </c>
      <c r="J1011" s="1">
        <v>0.9</v>
      </c>
      <c r="K1011" t="str">
        <f t="shared" si="47"/>
        <v>0-1 hours</v>
      </c>
      <c r="L1011" t="s">
        <v>17</v>
      </c>
      <c r="M1011">
        <v>6</v>
      </c>
      <c r="N1011">
        <v>1</v>
      </c>
      <c r="O1011">
        <v>6</v>
      </c>
      <c r="P1011">
        <v>0</v>
      </c>
    </row>
    <row r="1012" spans="1:16" x14ac:dyDescent="0.25">
      <c r="A1012">
        <v>16</v>
      </c>
      <c r="B1012" t="s">
        <v>14</v>
      </c>
      <c r="C1012">
        <v>6.8</v>
      </c>
      <c r="D1012" t="str">
        <f t="shared" si="45"/>
        <v>Medium</v>
      </c>
      <c r="E1012" t="s">
        <v>15</v>
      </c>
      <c r="F1012" s="1">
        <v>7.1</v>
      </c>
      <c r="G1012" t="str">
        <f t="shared" si="46"/>
        <v>Low</v>
      </c>
      <c r="H1012">
        <v>2.9</v>
      </c>
      <c r="I1012">
        <v>3.26</v>
      </c>
      <c r="J1012" s="1">
        <v>0.6</v>
      </c>
      <c r="K1012" t="str">
        <f t="shared" si="47"/>
        <v>0-1 hours</v>
      </c>
      <c r="L1012" t="s">
        <v>13</v>
      </c>
      <c r="M1012">
        <v>6</v>
      </c>
      <c r="N1012">
        <v>10</v>
      </c>
      <c r="O1012">
        <v>4</v>
      </c>
      <c r="P1012">
        <v>0</v>
      </c>
    </row>
    <row r="1013" spans="1:16" x14ac:dyDescent="0.25">
      <c r="A1013">
        <v>18</v>
      </c>
      <c r="B1013" t="s">
        <v>14</v>
      </c>
      <c r="C1013">
        <v>6.6</v>
      </c>
      <c r="D1013" t="str">
        <f t="shared" si="45"/>
        <v>Medium</v>
      </c>
      <c r="E1013" t="s">
        <v>18</v>
      </c>
      <c r="F1013" s="1">
        <v>8.1</v>
      </c>
      <c r="G1013" t="str">
        <f t="shared" si="46"/>
        <v>Normal</v>
      </c>
      <c r="H1013">
        <v>2</v>
      </c>
      <c r="I1013">
        <v>3.59</v>
      </c>
      <c r="J1013" s="1">
        <v>1.6</v>
      </c>
      <c r="K1013" t="str">
        <f t="shared" si="47"/>
        <v>1-2 hours</v>
      </c>
      <c r="L1013" t="s">
        <v>13</v>
      </c>
      <c r="M1013">
        <v>9</v>
      </c>
      <c r="N1013">
        <v>4</v>
      </c>
      <c r="O1013">
        <v>3</v>
      </c>
      <c r="P1013">
        <v>0</v>
      </c>
    </row>
    <row r="1014" spans="1:16" x14ac:dyDescent="0.25">
      <c r="A1014">
        <v>13</v>
      </c>
      <c r="B1014" t="s">
        <v>11</v>
      </c>
      <c r="C1014">
        <v>4</v>
      </c>
      <c r="D1014" t="str">
        <f t="shared" si="45"/>
        <v>Medium</v>
      </c>
      <c r="E1014" t="s">
        <v>12</v>
      </c>
      <c r="F1014" s="1">
        <v>4.2</v>
      </c>
      <c r="G1014" t="str">
        <f t="shared" si="46"/>
        <v>Low</v>
      </c>
      <c r="H1014">
        <v>0.9</v>
      </c>
      <c r="I1014">
        <v>2.75</v>
      </c>
      <c r="J1014" s="1">
        <v>1</v>
      </c>
      <c r="K1014" t="str">
        <f t="shared" si="47"/>
        <v>0-1 hours</v>
      </c>
      <c r="L1014" t="s">
        <v>16</v>
      </c>
      <c r="M1014">
        <v>5</v>
      </c>
      <c r="N1014">
        <v>4</v>
      </c>
      <c r="O1014">
        <v>8</v>
      </c>
      <c r="P1014">
        <v>0</v>
      </c>
    </row>
    <row r="1015" spans="1:16" x14ac:dyDescent="0.25">
      <c r="A1015">
        <v>13</v>
      </c>
      <c r="B1015" t="s">
        <v>11</v>
      </c>
      <c r="C1015">
        <v>1.6</v>
      </c>
      <c r="D1015" t="str">
        <f t="shared" si="45"/>
        <v>Low</v>
      </c>
      <c r="E1015" t="s">
        <v>15</v>
      </c>
      <c r="F1015" s="1">
        <v>5</v>
      </c>
      <c r="G1015" t="str">
        <f t="shared" si="46"/>
        <v>Low</v>
      </c>
      <c r="H1015">
        <v>2.7</v>
      </c>
      <c r="I1015">
        <v>2.31</v>
      </c>
      <c r="J1015" s="1">
        <v>1.9</v>
      </c>
      <c r="K1015" t="str">
        <f t="shared" si="47"/>
        <v>1-2 hours</v>
      </c>
      <c r="L1015" t="s">
        <v>13</v>
      </c>
      <c r="M1015">
        <v>8</v>
      </c>
      <c r="N1015">
        <v>9</v>
      </c>
      <c r="O1015">
        <v>5</v>
      </c>
      <c r="P1015">
        <v>0</v>
      </c>
    </row>
    <row r="1016" spans="1:16" x14ac:dyDescent="0.25">
      <c r="A1016">
        <v>18</v>
      </c>
      <c r="B1016" t="s">
        <v>11</v>
      </c>
      <c r="C1016">
        <v>5.3</v>
      </c>
      <c r="D1016" t="str">
        <f t="shared" si="45"/>
        <v>Medium</v>
      </c>
      <c r="E1016" t="s">
        <v>18</v>
      </c>
      <c r="F1016" s="1">
        <v>8.1999999999999993</v>
      </c>
      <c r="G1016" t="str">
        <f t="shared" si="46"/>
        <v>Normal</v>
      </c>
      <c r="H1016">
        <v>1.9</v>
      </c>
      <c r="I1016">
        <v>3.87</v>
      </c>
      <c r="J1016" s="1">
        <v>1.9</v>
      </c>
      <c r="K1016" t="str">
        <f t="shared" si="47"/>
        <v>1-2 hours</v>
      </c>
      <c r="L1016" t="s">
        <v>13</v>
      </c>
      <c r="M1016">
        <v>2</v>
      </c>
      <c r="N1016">
        <v>9</v>
      </c>
      <c r="O1016">
        <v>8</v>
      </c>
      <c r="P1016">
        <v>0</v>
      </c>
    </row>
    <row r="1017" spans="1:16" x14ac:dyDescent="0.25">
      <c r="A1017">
        <v>19</v>
      </c>
      <c r="B1017" t="s">
        <v>14</v>
      </c>
      <c r="C1017">
        <v>7.4</v>
      </c>
      <c r="D1017" t="str">
        <f t="shared" si="45"/>
        <v>High</v>
      </c>
      <c r="E1017" t="s">
        <v>18</v>
      </c>
      <c r="F1017" s="1">
        <v>4.4000000000000004</v>
      </c>
      <c r="G1017" t="str">
        <f t="shared" si="46"/>
        <v>Low</v>
      </c>
      <c r="H1017">
        <v>1.4</v>
      </c>
      <c r="I1017">
        <v>3.78</v>
      </c>
      <c r="J1017" s="1">
        <v>1.1000000000000001</v>
      </c>
      <c r="K1017" t="str">
        <f t="shared" si="47"/>
        <v>1-2 hours</v>
      </c>
      <c r="L1017" t="s">
        <v>13</v>
      </c>
      <c r="M1017">
        <v>9</v>
      </c>
      <c r="N1017">
        <v>7</v>
      </c>
      <c r="O1017">
        <v>5</v>
      </c>
      <c r="P1017">
        <v>1</v>
      </c>
    </row>
    <row r="1018" spans="1:16" x14ac:dyDescent="0.25">
      <c r="A1018">
        <v>18</v>
      </c>
      <c r="B1018" t="s">
        <v>14</v>
      </c>
      <c r="C1018">
        <v>2.2999999999999998</v>
      </c>
      <c r="D1018" t="str">
        <f t="shared" si="45"/>
        <v>Medium</v>
      </c>
      <c r="E1018" t="s">
        <v>12</v>
      </c>
      <c r="F1018" s="1">
        <v>8.6999999999999993</v>
      </c>
      <c r="G1018" t="str">
        <f t="shared" si="46"/>
        <v>Normal</v>
      </c>
      <c r="H1018">
        <v>0.6</v>
      </c>
      <c r="I1018">
        <v>2.76</v>
      </c>
      <c r="J1018" s="1">
        <v>1.9</v>
      </c>
      <c r="K1018" t="str">
        <f t="shared" si="47"/>
        <v>1-2 hours</v>
      </c>
      <c r="L1018" t="s">
        <v>16</v>
      </c>
      <c r="M1018">
        <v>4</v>
      </c>
      <c r="N1018">
        <v>8</v>
      </c>
      <c r="O1018">
        <v>7</v>
      </c>
      <c r="P1018">
        <v>0</v>
      </c>
    </row>
    <row r="1019" spans="1:16" x14ac:dyDescent="0.25">
      <c r="A1019">
        <v>16</v>
      </c>
      <c r="B1019" t="s">
        <v>11</v>
      </c>
      <c r="C1019">
        <v>7.6</v>
      </c>
      <c r="D1019" t="str">
        <f t="shared" si="45"/>
        <v>High</v>
      </c>
      <c r="E1019" t="s">
        <v>18</v>
      </c>
      <c r="F1019" s="1">
        <v>6.1</v>
      </c>
      <c r="G1019" t="str">
        <f t="shared" si="46"/>
        <v>Low</v>
      </c>
      <c r="H1019">
        <v>0.8</v>
      </c>
      <c r="I1019">
        <v>3.09</v>
      </c>
      <c r="J1019" s="1">
        <v>1.3</v>
      </c>
      <c r="K1019" t="str">
        <f t="shared" si="47"/>
        <v>1-2 hours</v>
      </c>
      <c r="L1019" t="s">
        <v>13</v>
      </c>
      <c r="M1019">
        <v>8</v>
      </c>
      <c r="N1019">
        <v>4</v>
      </c>
      <c r="O1019">
        <v>4</v>
      </c>
      <c r="P1019">
        <v>0</v>
      </c>
    </row>
    <row r="1020" spans="1:16" x14ac:dyDescent="0.25">
      <c r="A1020">
        <v>16</v>
      </c>
      <c r="B1020" t="s">
        <v>14</v>
      </c>
      <c r="C1020">
        <v>7.6</v>
      </c>
      <c r="D1020" t="str">
        <f t="shared" si="45"/>
        <v>High</v>
      </c>
      <c r="E1020" t="s">
        <v>15</v>
      </c>
      <c r="F1020" s="1">
        <v>7.6</v>
      </c>
      <c r="G1020" t="str">
        <f t="shared" si="46"/>
        <v>Low</v>
      </c>
      <c r="H1020">
        <v>2.4</v>
      </c>
      <c r="I1020">
        <v>2.2400000000000002</v>
      </c>
      <c r="J1020" s="1">
        <v>1.1000000000000001</v>
      </c>
      <c r="K1020" t="str">
        <f t="shared" si="47"/>
        <v>1-2 hours</v>
      </c>
      <c r="L1020" t="s">
        <v>17</v>
      </c>
      <c r="M1020">
        <v>1</v>
      </c>
      <c r="N1020">
        <v>5</v>
      </c>
      <c r="O1020">
        <v>5</v>
      </c>
      <c r="P1020">
        <v>0</v>
      </c>
    </row>
    <row r="1021" spans="1:16" x14ac:dyDescent="0.25">
      <c r="A1021">
        <v>17</v>
      </c>
      <c r="B1021" t="s">
        <v>14</v>
      </c>
      <c r="C1021">
        <v>3.4</v>
      </c>
      <c r="D1021" t="str">
        <f t="shared" si="45"/>
        <v>Medium</v>
      </c>
      <c r="E1021" t="s">
        <v>18</v>
      </c>
      <c r="F1021" s="1">
        <v>4.7</v>
      </c>
      <c r="G1021" t="str">
        <f t="shared" si="46"/>
        <v>Low</v>
      </c>
      <c r="H1021">
        <v>0.5</v>
      </c>
      <c r="I1021">
        <v>2.91</v>
      </c>
      <c r="J1021" s="1">
        <v>2</v>
      </c>
      <c r="K1021" t="str">
        <f t="shared" si="47"/>
        <v>1-2 hours</v>
      </c>
      <c r="L1021" t="s">
        <v>16</v>
      </c>
      <c r="M1021">
        <v>2</v>
      </c>
      <c r="N1021">
        <v>8</v>
      </c>
      <c r="O1021">
        <v>1</v>
      </c>
      <c r="P1021">
        <v>0</v>
      </c>
    </row>
    <row r="1022" spans="1:16" x14ac:dyDescent="0.25">
      <c r="A1022">
        <v>18</v>
      </c>
      <c r="B1022" t="s">
        <v>14</v>
      </c>
      <c r="C1022">
        <v>2.2999999999999998</v>
      </c>
      <c r="D1022" t="str">
        <f t="shared" si="45"/>
        <v>Medium</v>
      </c>
      <c r="E1022" t="s">
        <v>12</v>
      </c>
      <c r="F1022" s="1">
        <v>4.2</v>
      </c>
      <c r="G1022" t="str">
        <f t="shared" si="46"/>
        <v>Low</v>
      </c>
      <c r="H1022">
        <v>0.9</v>
      </c>
      <c r="I1022">
        <v>3.84</v>
      </c>
      <c r="J1022" s="1">
        <v>1.3</v>
      </c>
      <c r="K1022" t="str">
        <f t="shared" si="47"/>
        <v>1-2 hours</v>
      </c>
      <c r="L1022" t="s">
        <v>16</v>
      </c>
      <c r="M1022">
        <v>6</v>
      </c>
      <c r="N1022">
        <v>6</v>
      </c>
      <c r="O1022">
        <v>10</v>
      </c>
      <c r="P1022">
        <v>0</v>
      </c>
    </row>
    <row r="1023" spans="1:16" x14ac:dyDescent="0.25">
      <c r="A1023">
        <v>18</v>
      </c>
      <c r="B1023" t="s">
        <v>11</v>
      </c>
      <c r="C1023">
        <v>5</v>
      </c>
      <c r="D1023" t="str">
        <f t="shared" si="45"/>
        <v>Medium</v>
      </c>
      <c r="E1023" t="s">
        <v>12</v>
      </c>
      <c r="F1023" s="1">
        <v>4.3</v>
      </c>
      <c r="G1023" t="str">
        <f t="shared" si="46"/>
        <v>Low</v>
      </c>
      <c r="H1023">
        <v>1.1000000000000001</v>
      </c>
      <c r="I1023">
        <v>2.2200000000000002</v>
      </c>
      <c r="J1023" s="1">
        <v>0.1</v>
      </c>
      <c r="K1023" t="str">
        <f t="shared" si="47"/>
        <v>0-1 hours</v>
      </c>
      <c r="L1023" t="s">
        <v>16</v>
      </c>
      <c r="M1023">
        <v>7</v>
      </c>
      <c r="N1023">
        <v>2</v>
      </c>
      <c r="O1023">
        <v>2</v>
      </c>
      <c r="P1023">
        <v>0</v>
      </c>
    </row>
    <row r="1024" spans="1:16" x14ac:dyDescent="0.25">
      <c r="A1024">
        <v>15</v>
      </c>
      <c r="B1024" t="s">
        <v>11</v>
      </c>
      <c r="C1024">
        <v>3.8</v>
      </c>
      <c r="D1024" t="str">
        <f t="shared" si="45"/>
        <v>Medium</v>
      </c>
      <c r="E1024" t="s">
        <v>15</v>
      </c>
      <c r="F1024" s="1">
        <v>7.1</v>
      </c>
      <c r="G1024" t="str">
        <f t="shared" si="46"/>
        <v>Low</v>
      </c>
      <c r="H1024">
        <v>0.5</v>
      </c>
      <c r="I1024">
        <v>3.08</v>
      </c>
      <c r="J1024" s="1">
        <v>0.2</v>
      </c>
      <c r="K1024" t="str">
        <f t="shared" si="47"/>
        <v>0-1 hours</v>
      </c>
      <c r="L1024" t="s">
        <v>17</v>
      </c>
      <c r="M1024">
        <v>2</v>
      </c>
      <c r="N1024">
        <v>9</v>
      </c>
      <c r="O1024">
        <v>7</v>
      </c>
      <c r="P1024">
        <v>0</v>
      </c>
    </row>
    <row r="1025" spans="1:16" x14ac:dyDescent="0.25">
      <c r="A1025">
        <v>16</v>
      </c>
      <c r="B1025" t="s">
        <v>11</v>
      </c>
      <c r="C1025">
        <v>3.7</v>
      </c>
      <c r="D1025" t="str">
        <f t="shared" si="45"/>
        <v>Medium</v>
      </c>
      <c r="E1025" t="s">
        <v>12</v>
      </c>
      <c r="F1025" s="1">
        <v>7.6</v>
      </c>
      <c r="G1025" t="str">
        <f t="shared" si="46"/>
        <v>Low</v>
      </c>
      <c r="H1025">
        <v>1.2</v>
      </c>
      <c r="I1025">
        <v>3.2</v>
      </c>
      <c r="J1025" s="1">
        <v>1</v>
      </c>
      <c r="K1025" t="str">
        <f t="shared" si="47"/>
        <v>0-1 hours</v>
      </c>
      <c r="L1025" t="s">
        <v>17</v>
      </c>
      <c r="M1025">
        <v>4</v>
      </c>
      <c r="N1025">
        <v>8</v>
      </c>
      <c r="O1025">
        <v>6</v>
      </c>
      <c r="P1025">
        <v>0</v>
      </c>
    </row>
    <row r="1026" spans="1:16" x14ac:dyDescent="0.25">
      <c r="A1026">
        <v>13</v>
      </c>
      <c r="B1026" t="s">
        <v>11</v>
      </c>
      <c r="C1026">
        <v>1.4</v>
      </c>
      <c r="D1026" t="str">
        <f t="shared" ref="D1026:D1089" si="48">IF(C1026&lt;2,"Low",IF(C1026&lt;7,"Medium","High"))</f>
        <v>Low</v>
      </c>
      <c r="E1026" t="s">
        <v>18</v>
      </c>
      <c r="F1026" s="1">
        <v>8.6</v>
      </c>
      <c r="G1026" t="str">
        <f t="shared" ref="G1026:G1089" si="49">IF(F1026&gt;=8,"Normal","Low")</f>
        <v>Normal</v>
      </c>
      <c r="H1026">
        <v>2.4</v>
      </c>
      <c r="I1026">
        <v>3.31</v>
      </c>
      <c r="J1026" s="1">
        <v>0.7</v>
      </c>
      <c r="K1026" t="str">
        <f t="shared" ref="K1026:K1089" si="50">IF(J1026=0,"No activity",IF(J1026&lt;=1,"0-1 hours","1-2 hours"))</f>
        <v>0-1 hours</v>
      </c>
      <c r="L1026" t="s">
        <v>13</v>
      </c>
      <c r="M1026">
        <v>2</v>
      </c>
      <c r="N1026">
        <v>6</v>
      </c>
      <c r="O1026">
        <v>2</v>
      </c>
      <c r="P1026">
        <v>0</v>
      </c>
    </row>
    <row r="1027" spans="1:16" x14ac:dyDescent="0.25">
      <c r="A1027">
        <v>18</v>
      </c>
      <c r="B1027" t="s">
        <v>11</v>
      </c>
      <c r="C1027">
        <v>1.8</v>
      </c>
      <c r="D1027" t="str">
        <f t="shared" si="48"/>
        <v>Low</v>
      </c>
      <c r="E1027" t="s">
        <v>18</v>
      </c>
      <c r="F1027" s="1">
        <v>4.9000000000000004</v>
      </c>
      <c r="G1027" t="str">
        <f t="shared" si="49"/>
        <v>Low</v>
      </c>
      <c r="H1027">
        <v>2.7</v>
      </c>
      <c r="I1027">
        <v>2.12</v>
      </c>
      <c r="J1027" s="1">
        <v>0.2</v>
      </c>
      <c r="K1027" t="str">
        <f t="shared" si="50"/>
        <v>0-1 hours</v>
      </c>
      <c r="L1027" t="s">
        <v>13</v>
      </c>
      <c r="M1027">
        <v>1</v>
      </c>
      <c r="N1027">
        <v>3</v>
      </c>
      <c r="O1027">
        <v>8</v>
      </c>
      <c r="P1027">
        <v>0</v>
      </c>
    </row>
    <row r="1028" spans="1:16" x14ac:dyDescent="0.25">
      <c r="A1028">
        <v>19</v>
      </c>
      <c r="B1028" t="s">
        <v>11</v>
      </c>
      <c r="C1028">
        <v>1.5</v>
      </c>
      <c r="D1028" t="str">
        <f t="shared" si="48"/>
        <v>Low</v>
      </c>
      <c r="E1028" t="s">
        <v>15</v>
      </c>
      <c r="F1028" s="1">
        <v>5.8</v>
      </c>
      <c r="G1028" t="str">
        <f t="shared" si="49"/>
        <v>Low</v>
      </c>
      <c r="H1028">
        <v>1.1000000000000001</v>
      </c>
      <c r="I1028">
        <v>3.29</v>
      </c>
      <c r="J1028" s="1">
        <v>1.7</v>
      </c>
      <c r="K1028" t="str">
        <f t="shared" si="50"/>
        <v>1-2 hours</v>
      </c>
      <c r="L1028" t="s">
        <v>16</v>
      </c>
      <c r="M1028">
        <v>6</v>
      </c>
      <c r="N1028">
        <v>4</v>
      </c>
      <c r="O1028">
        <v>2</v>
      </c>
      <c r="P1028">
        <v>0</v>
      </c>
    </row>
    <row r="1029" spans="1:16" x14ac:dyDescent="0.25">
      <c r="A1029">
        <v>18</v>
      </c>
      <c r="B1029" t="s">
        <v>14</v>
      </c>
      <c r="C1029">
        <v>5.5</v>
      </c>
      <c r="D1029" t="str">
        <f t="shared" si="48"/>
        <v>Medium</v>
      </c>
      <c r="E1029" t="s">
        <v>18</v>
      </c>
      <c r="F1029" s="1">
        <v>5.5</v>
      </c>
      <c r="G1029" t="str">
        <f t="shared" si="49"/>
        <v>Low</v>
      </c>
      <c r="H1029">
        <v>1.8</v>
      </c>
      <c r="I1029">
        <v>2.2400000000000002</v>
      </c>
      <c r="J1029" s="1">
        <v>0</v>
      </c>
      <c r="K1029" t="str">
        <f t="shared" si="50"/>
        <v>No activity</v>
      </c>
      <c r="L1029" t="s">
        <v>16</v>
      </c>
      <c r="M1029">
        <v>3</v>
      </c>
      <c r="N1029">
        <v>4</v>
      </c>
      <c r="O1029">
        <v>10</v>
      </c>
      <c r="P1029">
        <v>0</v>
      </c>
    </row>
    <row r="1030" spans="1:16" x14ac:dyDescent="0.25">
      <c r="A1030">
        <v>15</v>
      </c>
      <c r="B1030" t="s">
        <v>11</v>
      </c>
      <c r="C1030">
        <v>4.9000000000000004</v>
      </c>
      <c r="D1030" t="str">
        <f t="shared" si="48"/>
        <v>Medium</v>
      </c>
      <c r="E1030" t="s">
        <v>18</v>
      </c>
      <c r="F1030" s="1">
        <v>5.2</v>
      </c>
      <c r="G1030" t="str">
        <f t="shared" si="49"/>
        <v>Low</v>
      </c>
      <c r="H1030">
        <v>0.7</v>
      </c>
      <c r="I1030">
        <v>2.5499999999999998</v>
      </c>
      <c r="J1030" s="1">
        <v>0.1</v>
      </c>
      <c r="K1030" t="str">
        <f t="shared" si="50"/>
        <v>0-1 hours</v>
      </c>
      <c r="L1030" t="s">
        <v>13</v>
      </c>
      <c r="M1030">
        <v>10</v>
      </c>
      <c r="N1030">
        <v>6</v>
      </c>
      <c r="O1030">
        <v>4</v>
      </c>
      <c r="P1030">
        <v>0</v>
      </c>
    </row>
    <row r="1031" spans="1:16" x14ac:dyDescent="0.25">
      <c r="A1031">
        <v>14</v>
      </c>
      <c r="B1031" t="s">
        <v>14</v>
      </c>
      <c r="C1031">
        <v>7.2</v>
      </c>
      <c r="D1031" t="str">
        <f t="shared" si="48"/>
        <v>High</v>
      </c>
      <c r="E1031" t="s">
        <v>18</v>
      </c>
      <c r="F1031" s="1">
        <v>7</v>
      </c>
      <c r="G1031" t="str">
        <f t="shared" si="49"/>
        <v>Low</v>
      </c>
      <c r="H1031">
        <v>2.2999999999999998</v>
      </c>
      <c r="I1031">
        <v>3.74</v>
      </c>
      <c r="J1031" s="1">
        <v>0.7</v>
      </c>
      <c r="K1031" t="str">
        <f t="shared" si="50"/>
        <v>0-1 hours</v>
      </c>
      <c r="L1031" t="s">
        <v>13</v>
      </c>
      <c r="M1031">
        <v>8</v>
      </c>
      <c r="N1031">
        <v>4</v>
      </c>
      <c r="O1031">
        <v>7</v>
      </c>
      <c r="P1031">
        <v>0</v>
      </c>
    </row>
    <row r="1032" spans="1:16" x14ac:dyDescent="0.25">
      <c r="A1032">
        <v>16</v>
      </c>
      <c r="B1032" t="s">
        <v>14</v>
      </c>
      <c r="C1032">
        <v>6.8</v>
      </c>
      <c r="D1032" t="str">
        <f t="shared" si="48"/>
        <v>Medium</v>
      </c>
      <c r="E1032" t="s">
        <v>12</v>
      </c>
      <c r="F1032" s="1">
        <v>7.2</v>
      </c>
      <c r="G1032" t="str">
        <f t="shared" si="49"/>
        <v>Low</v>
      </c>
      <c r="H1032">
        <v>1.1000000000000001</v>
      </c>
      <c r="I1032">
        <v>2.29</v>
      </c>
      <c r="J1032" s="1">
        <v>1.9</v>
      </c>
      <c r="K1032" t="str">
        <f t="shared" si="50"/>
        <v>1-2 hours</v>
      </c>
      <c r="L1032" t="s">
        <v>13</v>
      </c>
      <c r="M1032">
        <v>8</v>
      </c>
      <c r="N1032">
        <v>5</v>
      </c>
      <c r="O1032">
        <v>9</v>
      </c>
      <c r="P1032">
        <v>0</v>
      </c>
    </row>
    <row r="1033" spans="1:16" x14ac:dyDescent="0.25">
      <c r="A1033">
        <v>13</v>
      </c>
      <c r="B1033" t="s">
        <v>14</v>
      </c>
      <c r="C1033">
        <v>2.2000000000000002</v>
      </c>
      <c r="D1033" t="str">
        <f t="shared" si="48"/>
        <v>Medium</v>
      </c>
      <c r="E1033" t="s">
        <v>18</v>
      </c>
      <c r="F1033" s="1">
        <v>7.7</v>
      </c>
      <c r="G1033" t="str">
        <f t="shared" si="49"/>
        <v>Low</v>
      </c>
      <c r="H1033">
        <v>2.1</v>
      </c>
      <c r="I1033">
        <v>2.33</v>
      </c>
      <c r="J1033" s="1">
        <v>1.7</v>
      </c>
      <c r="K1033" t="str">
        <f t="shared" si="50"/>
        <v>1-2 hours</v>
      </c>
      <c r="L1033" t="s">
        <v>13</v>
      </c>
      <c r="M1033">
        <v>2</v>
      </c>
      <c r="N1033">
        <v>8</v>
      </c>
      <c r="O1033">
        <v>7</v>
      </c>
      <c r="P1033">
        <v>0</v>
      </c>
    </row>
    <row r="1034" spans="1:16" x14ac:dyDescent="0.25">
      <c r="A1034">
        <v>16</v>
      </c>
      <c r="B1034" t="s">
        <v>14</v>
      </c>
      <c r="C1034">
        <v>5.9</v>
      </c>
      <c r="D1034" t="str">
        <f t="shared" si="48"/>
        <v>Medium</v>
      </c>
      <c r="E1034" t="s">
        <v>15</v>
      </c>
      <c r="F1034" s="1">
        <v>7</v>
      </c>
      <c r="G1034" t="str">
        <f t="shared" si="49"/>
        <v>Low</v>
      </c>
      <c r="H1034">
        <v>0.8</v>
      </c>
      <c r="I1034">
        <v>2.29</v>
      </c>
      <c r="J1034" s="1">
        <v>1.6</v>
      </c>
      <c r="K1034" t="str">
        <f t="shared" si="50"/>
        <v>1-2 hours</v>
      </c>
      <c r="L1034" t="s">
        <v>13</v>
      </c>
      <c r="M1034">
        <v>6</v>
      </c>
      <c r="N1034">
        <v>8</v>
      </c>
      <c r="O1034">
        <v>1</v>
      </c>
      <c r="P1034">
        <v>0</v>
      </c>
    </row>
    <row r="1035" spans="1:16" x14ac:dyDescent="0.25">
      <c r="A1035">
        <v>15</v>
      </c>
      <c r="B1035" t="s">
        <v>14</v>
      </c>
      <c r="C1035">
        <v>2.2000000000000002</v>
      </c>
      <c r="D1035" t="str">
        <f t="shared" si="48"/>
        <v>Medium</v>
      </c>
      <c r="E1035" t="s">
        <v>12</v>
      </c>
      <c r="F1035" s="1">
        <v>7.5</v>
      </c>
      <c r="G1035" t="str">
        <f t="shared" si="49"/>
        <v>Low</v>
      </c>
      <c r="H1035">
        <v>1.4</v>
      </c>
      <c r="I1035">
        <v>3.19</v>
      </c>
      <c r="J1035" s="1">
        <v>1.8</v>
      </c>
      <c r="K1035" t="str">
        <f t="shared" si="50"/>
        <v>1-2 hours</v>
      </c>
      <c r="L1035" t="s">
        <v>13</v>
      </c>
      <c r="M1035">
        <v>6</v>
      </c>
      <c r="N1035">
        <v>1</v>
      </c>
      <c r="O1035">
        <v>7</v>
      </c>
      <c r="P1035">
        <v>0</v>
      </c>
    </row>
    <row r="1036" spans="1:16" x14ac:dyDescent="0.25">
      <c r="A1036">
        <v>19</v>
      </c>
      <c r="B1036" t="s">
        <v>14</v>
      </c>
      <c r="C1036">
        <v>2.4</v>
      </c>
      <c r="D1036" t="str">
        <f t="shared" si="48"/>
        <v>Medium</v>
      </c>
      <c r="E1036" t="s">
        <v>12</v>
      </c>
      <c r="F1036" s="1">
        <v>4.2</v>
      </c>
      <c r="G1036" t="str">
        <f t="shared" si="49"/>
        <v>Low</v>
      </c>
      <c r="H1036">
        <v>1.2</v>
      </c>
      <c r="I1036">
        <v>3.87</v>
      </c>
      <c r="J1036" s="1">
        <v>1.3</v>
      </c>
      <c r="K1036" t="str">
        <f t="shared" si="50"/>
        <v>1-2 hours</v>
      </c>
      <c r="L1036" t="s">
        <v>13</v>
      </c>
      <c r="M1036">
        <v>1</v>
      </c>
      <c r="N1036">
        <v>9</v>
      </c>
      <c r="O1036">
        <v>5</v>
      </c>
      <c r="P1036">
        <v>0</v>
      </c>
    </row>
    <row r="1037" spans="1:16" x14ac:dyDescent="0.25">
      <c r="A1037">
        <v>15</v>
      </c>
      <c r="B1037" t="s">
        <v>11</v>
      </c>
      <c r="C1037">
        <v>4.0999999999999996</v>
      </c>
      <c r="D1037" t="str">
        <f t="shared" si="48"/>
        <v>Medium</v>
      </c>
      <c r="E1037" t="s">
        <v>12</v>
      </c>
      <c r="F1037" s="1">
        <v>7.6</v>
      </c>
      <c r="G1037" t="str">
        <f t="shared" si="49"/>
        <v>Low</v>
      </c>
      <c r="H1037">
        <v>1</v>
      </c>
      <c r="I1037">
        <v>2.17</v>
      </c>
      <c r="J1037" s="1">
        <v>1.1000000000000001</v>
      </c>
      <c r="K1037" t="str">
        <f t="shared" si="50"/>
        <v>1-2 hours</v>
      </c>
      <c r="L1037" t="s">
        <v>13</v>
      </c>
      <c r="M1037">
        <v>4</v>
      </c>
      <c r="N1037">
        <v>5</v>
      </c>
      <c r="O1037">
        <v>1</v>
      </c>
      <c r="P1037">
        <v>0</v>
      </c>
    </row>
    <row r="1038" spans="1:16" x14ac:dyDescent="0.25">
      <c r="A1038">
        <v>18</v>
      </c>
      <c r="B1038" t="s">
        <v>14</v>
      </c>
      <c r="C1038">
        <v>4.5</v>
      </c>
      <c r="D1038" t="str">
        <f t="shared" si="48"/>
        <v>Medium</v>
      </c>
      <c r="E1038" t="s">
        <v>12</v>
      </c>
      <c r="F1038" s="1">
        <v>7</v>
      </c>
      <c r="G1038" t="str">
        <f t="shared" si="49"/>
        <v>Low</v>
      </c>
      <c r="H1038">
        <v>2.7</v>
      </c>
      <c r="I1038">
        <v>2.89</v>
      </c>
      <c r="J1038" s="1">
        <v>1.8</v>
      </c>
      <c r="K1038" t="str">
        <f t="shared" si="50"/>
        <v>1-2 hours</v>
      </c>
      <c r="L1038" t="s">
        <v>16</v>
      </c>
      <c r="M1038">
        <v>1</v>
      </c>
      <c r="N1038">
        <v>1</v>
      </c>
      <c r="O1038">
        <v>2</v>
      </c>
      <c r="P1038">
        <v>0</v>
      </c>
    </row>
    <row r="1039" spans="1:16" x14ac:dyDescent="0.25">
      <c r="A1039">
        <v>14</v>
      </c>
      <c r="B1039" t="s">
        <v>14</v>
      </c>
      <c r="C1039">
        <v>4.5999999999999996</v>
      </c>
      <c r="D1039" t="str">
        <f t="shared" si="48"/>
        <v>Medium</v>
      </c>
      <c r="E1039" t="s">
        <v>12</v>
      </c>
      <c r="F1039" s="1">
        <v>5.9</v>
      </c>
      <c r="G1039" t="str">
        <f t="shared" si="49"/>
        <v>Low</v>
      </c>
      <c r="H1039">
        <v>1.4</v>
      </c>
      <c r="I1039">
        <v>2.15</v>
      </c>
      <c r="J1039" s="1">
        <v>0.3</v>
      </c>
      <c r="K1039" t="str">
        <f t="shared" si="50"/>
        <v>0-1 hours</v>
      </c>
      <c r="L1039" t="s">
        <v>16</v>
      </c>
      <c r="M1039">
        <v>3</v>
      </c>
      <c r="N1039">
        <v>10</v>
      </c>
      <c r="O1039">
        <v>2</v>
      </c>
      <c r="P1039">
        <v>0</v>
      </c>
    </row>
    <row r="1040" spans="1:16" x14ac:dyDescent="0.25">
      <c r="A1040">
        <v>17</v>
      </c>
      <c r="B1040" t="s">
        <v>14</v>
      </c>
      <c r="C1040">
        <v>4.5</v>
      </c>
      <c r="D1040" t="str">
        <f t="shared" si="48"/>
        <v>Medium</v>
      </c>
      <c r="E1040" t="s">
        <v>18</v>
      </c>
      <c r="F1040" s="1">
        <v>6.1</v>
      </c>
      <c r="G1040" t="str">
        <f t="shared" si="49"/>
        <v>Low</v>
      </c>
      <c r="H1040">
        <v>2.8</v>
      </c>
      <c r="I1040">
        <v>3.38</v>
      </c>
      <c r="J1040" s="1">
        <v>1.2</v>
      </c>
      <c r="K1040" t="str">
        <f t="shared" si="50"/>
        <v>1-2 hours</v>
      </c>
      <c r="L1040" t="s">
        <v>13</v>
      </c>
      <c r="M1040">
        <v>10</v>
      </c>
      <c r="N1040">
        <v>4</v>
      </c>
      <c r="O1040">
        <v>2</v>
      </c>
      <c r="P1040">
        <v>0</v>
      </c>
    </row>
    <row r="1041" spans="1:16" x14ac:dyDescent="0.25">
      <c r="A1041">
        <v>13</v>
      </c>
      <c r="B1041" t="s">
        <v>11</v>
      </c>
      <c r="C1041">
        <v>5</v>
      </c>
      <c r="D1041" t="str">
        <f t="shared" si="48"/>
        <v>Medium</v>
      </c>
      <c r="E1041" t="s">
        <v>12</v>
      </c>
      <c r="F1041" s="1">
        <v>5.2</v>
      </c>
      <c r="G1041" t="str">
        <f t="shared" si="49"/>
        <v>Low</v>
      </c>
      <c r="H1041">
        <v>2.6</v>
      </c>
      <c r="I1041">
        <v>2.04</v>
      </c>
      <c r="J1041" s="1">
        <v>1.7</v>
      </c>
      <c r="K1041" t="str">
        <f t="shared" si="50"/>
        <v>1-2 hours</v>
      </c>
      <c r="L1041" t="s">
        <v>17</v>
      </c>
      <c r="M1041">
        <v>4</v>
      </c>
      <c r="N1041">
        <v>4</v>
      </c>
      <c r="O1041">
        <v>5</v>
      </c>
      <c r="P1041">
        <v>0</v>
      </c>
    </row>
    <row r="1042" spans="1:16" x14ac:dyDescent="0.25">
      <c r="A1042">
        <v>19</v>
      </c>
      <c r="B1042" t="s">
        <v>14</v>
      </c>
      <c r="C1042">
        <v>4.0999999999999996</v>
      </c>
      <c r="D1042" t="str">
        <f t="shared" si="48"/>
        <v>Medium</v>
      </c>
      <c r="E1042" t="s">
        <v>18</v>
      </c>
      <c r="F1042" s="1">
        <v>6.4</v>
      </c>
      <c r="G1042" t="str">
        <f t="shared" si="49"/>
        <v>Low</v>
      </c>
      <c r="H1042">
        <v>1.4</v>
      </c>
      <c r="I1042">
        <v>2.2599999999999998</v>
      </c>
      <c r="J1042" s="1">
        <v>1.6</v>
      </c>
      <c r="K1042" t="str">
        <f t="shared" si="50"/>
        <v>1-2 hours</v>
      </c>
      <c r="L1042" t="s">
        <v>16</v>
      </c>
      <c r="M1042">
        <v>2</v>
      </c>
      <c r="N1042">
        <v>3</v>
      </c>
      <c r="O1042">
        <v>6</v>
      </c>
      <c r="P1042">
        <v>0</v>
      </c>
    </row>
    <row r="1043" spans="1:16" x14ac:dyDescent="0.25">
      <c r="A1043">
        <v>18</v>
      </c>
      <c r="B1043" t="s">
        <v>11</v>
      </c>
      <c r="C1043">
        <v>7.5</v>
      </c>
      <c r="D1043" t="str">
        <f t="shared" si="48"/>
        <v>High</v>
      </c>
      <c r="E1043" t="s">
        <v>15</v>
      </c>
      <c r="F1043" s="1">
        <v>7.6</v>
      </c>
      <c r="G1043" t="str">
        <f t="shared" si="49"/>
        <v>Low</v>
      </c>
      <c r="H1043">
        <v>1.8</v>
      </c>
      <c r="I1043">
        <v>3.19</v>
      </c>
      <c r="J1043" s="1">
        <v>1.7</v>
      </c>
      <c r="K1043" t="str">
        <f t="shared" si="50"/>
        <v>1-2 hours</v>
      </c>
      <c r="L1043" t="s">
        <v>16</v>
      </c>
      <c r="M1043">
        <v>2</v>
      </c>
      <c r="N1043">
        <v>6</v>
      </c>
      <c r="O1043">
        <v>6</v>
      </c>
      <c r="P1043">
        <v>0</v>
      </c>
    </row>
    <row r="1044" spans="1:16" x14ac:dyDescent="0.25">
      <c r="A1044">
        <v>18</v>
      </c>
      <c r="B1044" t="s">
        <v>11</v>
      </c>
      <c r="C1044">
        <v>4.2</v>
      </c>
      <c r="D1044" t="str">
        <f t="shared" si="48"/>
        <v>Medium</v>
      </c>
      <c r="E1044" t="s">
        <v>12</v>
      </c>
      <c r="F1044" s="1">
        <v>5.5</v>
      </c>
      <c r="G1044" t="str">
        <f t="shared" si="49"/>
        <v>Low</v>
      </c>
      <c r="H1044">
        <v>1.8</v>
      </c>
      <c r="I1044">
        <v>3.83</v>
      </c>
      <c r="J1044" s="1">
        <v>1.9</v>
      </c>
      <c r="K1044" t="str">
        <f t="shared" si="50"/>
        <v>1-2 hours</v>
      </c>
      <c r="L1044" t="s">
        <v>13</v>
      </c>
      <c r="M1044">
        <v>3</v>
      </c>
      <c r="N1044">
        <v>8</v>
      </c>
      <c r="O1044">
        <v>8</v>
      </c>
      <c r="P1044">
        <v>0</v>
      </c>
    </row>
    <row r="1045" spans="1:16" x14ac:dyDescent="0.25">
      <c r="A1045">
        <v>14</v>
      </c>
      <c r="B1045" t="s">
        <v>14</v>
      </c>
      <c r="C1045">
        <v>7.2</v>
      </c>
      <c r="D1045" t="str">
        <f t="shared" si="48"/>
        <v>High</v>
      </c>
      <c r="E1045" t="s">
        <v>18</v>
      </c>
      <c r="F1045" s="1">
        <v>5</v>
      </c>
      <c r="G1045" t="str">
        <f t="shared" si="49"/>
        <v>Low</v>
      </c>
      <c r="H1045">
        <v>2.9</v>
      </c>
      <c r="I1045">
        <v>3.76</v>
      </c>
      <c r="J1045" s="1">
        <v>0.4</v>
      </c>
      <c r="K1045" t="str">
        <f t="shared" si="50"/>
        <v>0-1 hours</v>
      </c>
      <c r="L1045" t="s">
        <v>17</v>
      </c>
      <c r="M1045">
        <v>7</v>
      </c>
      <c r="N1045">
        <v>4</v>
      </c>
      <c r="O1045">
        <v>2</v>
      </c>
      <c r="P1045">
        <v>0</v>
      </c>
    </row>
    <row r="1046" spans="1:16" x14ac:dyDescent="0.25">
      <c r="A1046">
        <v>13</v>
      </c>
      <c r="B1046" t="s">
        <v>11</v>
      </c>
      <c r="C1046">
        <v>4.8</v>
      </c>
      <c r="D1046" t="str">
        <f t="shared" si="48"/>
        <v>Medium</v>
      </c>
      <c r="E1046" t="s">
        <v>12</v>
      </c>
      <c r="F1046" s="1">
        <v>6</v>
      </c>
      <c r="G1046" t="str">
        <f t="shared" si="49"/>
        <v>Low</v>
      </c>
      <c r="H1046">
        <v>0.6</v>
      </c>
      <c r="I1046">
        <v>2.41</v>
      </c>
      <c r="J1046" s="1">
        <v>0</v>
      </c>
      <c r="K1046" t="str">
        <f t="shared" si="50"/>
        <v>No activity</v>
      </c>
      <c r="L1046" t="s">
        <v>16</v>
      </c>
      <c r="M1046">
        <v>3</v>
      </c>
      <c r="N1046">
        <v>6</v>
      </c>
      <c r="O1046">
        <v>9</v>
      </c>
      <c r="P1046">
        <v>0</v>
      </c>
    </row>
    <row r="1047" spans="1:16" x14ac:dyDescent="0.25">
      <c r="A1047">
        <v>17</v>
      </c>
      <c r="B1047" t="s">
        <v>14</v>
      </c>
      <c r="C1047">
        <v>7.3</v>
      </c>
      <c r="D1047" t="str">
        <f t="shared" si="48"/>
        <v>High</v>
      </c>
      <c r="E1047" t="s">
        <v>12</v>
      </c>
      <c r="F1047" s="1">
        <v>6.7</v>
      </c>
      <c r="G1047" t="str">
        <f t="shared" si="49"/>
        <v>Low</v>
      </c>
      <c r="H1047">
        <v>1</v>
      </c>
      <c r="I1047">
        <v>3.41</v>
      </c>
      <c r="J1047" s="1">
        <v>1.7</v>
      </c>
      <c r="K1047" t="str">
        <f t="shared" si="50"/>
        <v>1-2 hours</v>
      </c>
      <c r="L1047" t="s">
        <v>17</v>
      </c>
      <c r="M1047">
        <v>6</v>
      </c>
      <c r="N1047">
        <v>5</v>
      </c>
      <c r="O1047">
        <v>2</v>
      </c>
      <c r="P1047">
        <v>0</v>
      </c>
    </row>
    <row r="1048" spans="1:16" x14ac:dyDescent="0.25">
      <c r="A1048">
        <v>13</v>
      </c>
      <c r="B1048" t="s">
        <v>11</v>
      </c>
      <c r="C1048">
        <v>3.9</v>
      </c>
      <c r="D1048" t="str">
        <f t="shared" si="48"/>
        <v>Medium</v>
      </c>
      <c r="E1048" t="s">
        <v>18</v>
      </c>
      <c r="F1048" s="1">
        <v>4.5</v>
      </c>
      <c r="G1048" t="str">
        <f t="shared" si="49"/>
        <v>Low</v>
      </c>
      <c r="H1048">
        <v>1.6</v>
      </c>
      <c r="I1048">
        <v>2.02</v>
      </c>
      <c r="J1048" s="1">
        <v>0.6</v>
      </c>
      <c r="K1048" t="str">
        <f t="shared" si="50"/>
        <v>0-1 hours</v>
      </c>
      <c r="L1048" t="s">
        <v>16</v>
      </c>
      <c r="M1048">
        <v>6</v>
      </c>
      <c r="N1048">
        <v>6</v>
      </c>
      <c r="O1048">
        <v>5</v>
      </c>
      <c r="P1048">
        <v>0</v>
      </c>
    </row>
    <row r="1049" spans="1:16" x14ac:dyDescent="0.25">
      <c r="A1049">
        <v>15</v>
      </c>
      <c r="B1049" t="s">
        <v>14</v>
      </c>
      <c r="C1049">
        <v>5.5</v>
      </c>
      <c r="D1049" t="str">
        <f t="shared" si="48"/>
        <v>Medium</v>
      </c>
      <c r="E1049" t="s">
        <v>18</v>
      </c>
      <c r="F1049" s="1">
        <v>4</v>
      </c>
      <c r="G1049" t="str">
        <f t="shared" si="49"/>
        <v>Low</v>
      </c>
      <c r="H1049">
        <v>2.4</v>
      </c>
      <c r="I1049">
        <v>3.01</v>
      </c>
      <c r="J1049" s="1">
        <v>0.9</v>
      </c>
      <c r="K1049" t="str">
        <f t="shared" si="50"/>
        <v>0-1 hours</v>
      </c>
      <c r="L1049" t="s">
        <v>13</v>
      </c>
      <c r="M1049">
        <v>10</v>
      </c>
      <c r="N1049">
        <v>3</v>
      </c>
      <c r="O1049">
        <v>2</v>
      </c>
      <c r="P1049">
        <v>0</v>
      </c>
    </row>
    <row r="1050" spans="1:16" x14ac:dyDescent="0.25">
      <c r="A1050">
        <v>15</v>
      </c>
      <c r="B1050" t="s">
        <v>11</v>
      </c>
      <c r="C1050">
        <v>7.5</v>
      </c>
      <c r="D1050" t="str">
        <f t="shared" si="48"/>
        <v>High</v>
      </c>
      <c r="E1050" t="s">
        <v>18</v>
      </c>
      <c r="F1050" s="1">
        <v>6.3</v>
      </c>
      <c r="G1050" t="str">
        <f t="shared" si="49"/>
        <v>Low</v>
      </c>
      <c r="H1050">
        <v>2.8</v>
      </c>
      <c r="I1050">
        <v>3.04</v>
      </c>
      <c r="J1050" s="1">
        <v>1.8</v>
      </c>
      <c r="K1050" t="str">
        <f t="shared" si="50"/>
        <v>1-2 hours</v>
      </c>
      <c r="L1050" t="s">
        <v>13</v>
      </c>
      <c r="M1050">
        <v>1</v>
      </c>
      <c r="N1050">
        <v>5</v>
      </c>
      <c r="O1050">
        <v>8</v>
      </c>
      <c r="P1050">
        <v>0</v>
      </c>
    </row>
    <row r="1051" spans="1:16" x14ac:dyDescent="0.25">
      <c r="A1051">
        <v>17</v>
      </c>
      <c r="B1051" t="s">
        <v>11</v>
      </c>
      <c r="C1051">
        <v>1.8</v>
      </c>
      <c r="D1051" t="str">
        <f t="shared" si="48"/>
        <v>Low</v>
      </c>
      <c r="E1051" t="s">
        <v>12</v>
      </c>
      <c r="F1051" s="1">
        <v>6.9</v>
      </c>
      <c r="G1051" t="str">
        <f t="shared" si="49"/>
        <v>Low</v>
      </c>
      <c r="H1051">
        <v>2.7</v>
      </c>
      <c r="I1051">
        <v>2.5299999999999998</v>
      </c>
      <c r="J1051" s="1">
        <v>1.7</v>
      </c>
      <c r="K1051" t="str">
        <f t="shared" si="50"/>
        <v>1-2 hours</v>
      </c>
      <c r="L1051" t="s">
        <v>16</v>
      </c>
      <c r="M1051">
        <v>2</v>
      </c>
      <c r="N1051">
        <v>2</v>
      </c>
      <c r="O1051">
        <v>7</v>
      </c>
      <c r="P1051">
        <v>0</v>
      </c>
    </row>
    <row r="1052" spans="1:16" x14ac:dyDescent="0.25">
      <c r="A1052">
        <v>16</v>
      </c>
      <c r="B1052" t="s">
        <v>11</v>
      </c>
      <c r="C1052">
        <v>2.6</v>
      </c>
      <c r="D1052" t="str">
        <f t="shared" si="48"/>
        <v>Medium</v>
      </c>
      <c r="E1052" t="s">
        <v>12</v>
      </c>
      <c r="F1052" s="1">
        <v>5.0999999999999996</v>
      </c>
      <c r="G1052" t="str">
        <f t="shared" si="49"/>
        <v>Low</v>
      </c>
      <c r="H1052">
        <v>0.9</v>
      </c>
      <c r="I1052">
        <v>2.57</v>
      </c>
      <c r="J1052" s="1">
        <v>1.4</v>
      </c>
      <c r="K1052" t="str">
        <f t="shared" si="50"/>
        <v>1-2 hours</v>
      </c>
      <c r="L1052" t="s">
        <v>17</v>
      </c>
      <c r="M1052">
        <v>8</v>
      </c>
      <c r="N1052">
        <v>5</v>
      </c>
      <c r="O1052">
        <v>8</v>
      </c>
      <c r="P1052">
        <v>0</v>
      </c>
    </row>
    <row r="1053" spans="1:16" x14ac:dyDescent="0.25">
      <c r="A1053">
        <v>17</v>
      </c>
      <c r="B1053" t="s">
        <v>14</v>
      </c>
      <c r="C1053">
        <v>5.5</v>
      </c>
      <c r="D1053" t="str">
        <f t="shared" si="48"/>
        <v>Medium</v>
      </c>
      <c r="E1053" t="s">
        <v>18</v>
      </c>
      <c r="F1053" s="1">
        <v>6</v>
      </c>
      <c r="G1053" t="str">
        <f t="shared" si="49"/>
        <v>Low</v>
      </c>
      <c r="H1053">
        <v>2.8</v>
      </c>
      <c r="I1053">
        <v>3.4</v>
      </c>
      <c r="J1053" s="1">
        <v>0</v>
      </c>
      <c r="K1053" t="str">
        <f t="shared" si="50"/>
        <v>No activity</v>
      </c>
      <c r="L1053" t="s">
        <v>17</v>
      </c>
      <c r="M1053">
        <v>2</v>
      </c>
      <c r="N1053">
        <v>3</v>
      </c>
      <c r="O1053">
        <v>8</v>
      </c>
      <c r="P1053">
        <v>0</v>
      </c>
    </row>
    <row r="1054" spans="1:16" x14ac:dyDescent="0.25">
      <c r="A1054">
        <v>15</v>
      </c>
      <c r="B1054" t="s">
        <v>14</v>
      </c>
      <c r="C1054">
        <v>3.6</v>
      </c>
      <c r="D1054" t="str">
        <f t="shared" si="48"/>
        <v>Medium</v>
      </c>
      <c r="E1054" t="s">
        <v>15</v>
      </c>
      <c r="F1054" s="1">
        <v>7.1</v>
      </c>
      <c r="G1054" t="str">
        <f t="shared" si="49"/>
        <v>Low</v>
      </c>
      <c r="H1054">
        <v>0.9</v>
      </c>
      <c r="I1054">
        <v>2.84</v>
      </c>
      <c r="J1054" s="1">
        <v>0.3</v>
      </c>
      <c r="K1054" t="str">
        <f t="shared" si="50"/>
        <v>0-1 hours</v>
      </c>
      <c r="L1054" t="s">
        <v>13</v>
      </c>
      <c r="M1054">
        <v>1</v>
      </c>
      <c r="N1054">
        <v>9</v>
      </c>
      <c r="O1054">
        <v>4</v>
      </c>
      <c r="P1054">
        <v>0</v>
      </c>
    </row>
    <row r="1055" spans="1:16" x14ac:dyDescent="0.25">
      <c r="A1055">
        <v>19</v>
      </c>
      <c r="B1055" t="s">
        <v>14</v>
      </c>
      <c r="C1055">
        <v>7.6</v>
      </c>
      <c r="D1055" t="str">
        <f t="shared" si="48"/>
        <v>High</v>
      </c>
      <c r="E1055" t="s">
        <v>18</v>
      </c>
      <c r="F1055" s="1">
        <v>5.4</v>
      </c>
      <c r="G1055" t="str">
        <f t="shared" si="49"/>
        <v>Low</v>
      </c>
      <c r="H1055">
        <v>1.9</v>
      </c>
      <c r="I1055">
        <v>2.56</v>
      </c>
      <c r="J1055" s="1">
        <v>1.4</v>
      </c>
      <c r="K1055" t="str">
        <f t="shared" si="50"/>
        <v>1-2 hours</v>
      </c>
      <c r="L1055" t="s">
        <v>13</v>
      </c>
      <c r="M1055">
        <v>2</v>
      </c>
      <c r="N1055">
        <v>7</v>
      </c>
      <c r="O1055">
        <v>9</v>
      </c>
      <c r="P1055">
        <v>0</v>
      </c>
    </row>
    <row r="1056" spans="1:16" x14ac:dyDescent="0.25">
      <c r="A1056">
        <v>13</v>
      </c>
      <c r="B1056" t="s">
        <v>11</v>
      </c>
      <c r="C1056">
        <v>7.9</v>
      </c>
      <c r="D1056" t="str">
        <f t="shared" si="48"/>
        <v>High</v>
      </c>
      <c r="E1056" t="s">
        <v>12</v>
      </c>
      <c r="F1056" s="1">
        <v>7.1</v>
      </c>
      <c r="G1056" t="str">
        <f t="shared" si="49"/>
        <v>Low</v>
      </c>
      <c r="H1056">
        <v>0.7</v>
      </c>
      <c r="I1056">
        <v>2.8</v>
      </c>
      <c r="J1056" s="1">
        <v>0.3</v>
      </c>
      <c r="K1056" t="str">
        <f t="shared" si="50"/>
        <v>0-1 hours</v>
      </c>
      <c r="L1056" t="s">
        <v>17</v>
      </c>
      <c r="M1056">
        <v>6</v>
      </c>
      <c r="N1056">
        <v>8</v>
      </c>
      <c r="O1056">
        <v>8</v>
      </c>
      <c r="P1056">
        <v>0</v>
      </c>
    </row>
    <row r="1057" spans="1:16" x14ac:dyDescent="0.25">
      <c r="A1057">
        <v>15</v>
      </c>
      <c r="B1057" t="s">
        <v>11</v>
      </c>
      <c r="C1057">
        <v>2.6</v>
      </c>
      <c r="D1057" t="str">
        <f t="shared" si="48"/>
        <v>Medium</v>
      </c>
      <c r="E1057" t="s">
        <v>18</v>
      </c>
      <c r="F1057" s="1">
        <v>6.8</v>
      </c>
      <c r="G1057" t="str">
        <f t="shared" si="49"/>
        <v>Low</v>
      </c>
      <c r="H1057">
        <v>1.7</v>
      </c>
      <c r="I1057">
        <v>2.06</v>
      </c>
      <c r="J1057" s="1">
        <v>0.4</v>
      </c>
      <c r="K1057" t="str">
        <f t="shared" si="50"/>
        <v>0-1 hours</v>
      </c>
      <c r="L1057" t="s">
        <v>17</v>
      </c>
      <c r="M1057">
        <v>8</v>
      </c>
      <c r="N1057">
        <v>6</v>
      </c>
      <c r="O1057">
        <v>6</v>
      </c>
      <c r="P1057">
        <v>0</v>
      </c>
    </row>
    <row r="1058" spans="1:16" x14ac:dyDescent="0.25">
      <c r="A1058">
        <v>19</v>
      </c>
      <c r="B1058" t="s">
        <v>11</v>
      </c>
      <c r="C1058">
        <v>5.7</v>
      </c>
      <c r="D1058" t="str">
        <f t="shared" si="48"/>
        <v>Medium</v>
      </c>
      <c r="E1058" t="s">
        <v>15</v>
      </c>
      <c r="F1058" s="1">
        <v>6.4</v>
      </c>
      <c r="G1058" t="str">
        <f t="shared" si="49"/>
        <v>Low</v>
      </c>
      <c r="H1058">
        <v>0.9</v>
      </c>
      <c r="I1058">
        <v>3.57</v>
      </c>
      <c r="J1058" s="1">
        <v>1.5</v>
      </c>
      <c r="K1058" t="str">
        <f t="shared" si="50"/>
        <v>1-2 hours</v>
      </c>
      <c r="L1058" t="s">
        <v>16</v>
      </c>
      <c r="M1058">
        <v>3</v>
      </c>
      <c r="N1058">
        <v>7</v>
      </c>
      <c r="O1058">
        <v>2</v>
      </c>
      <c r="P1058">
        <v>0</v>
      </c>
    </row>
    <row r="1059" spans="1:16" x14ac:dyDescent="0.25">
      <c r="A1059">
        <v>13</v>
      </c>
      <c r="B1059" t="s">
        <v>14</v>
      </c>
      <c r="C1059">
        <v>7.1</v>
      </c>
      <c r="D1059" t="str">
        <f t="shared" si="48"/>
        <v>High</v>
      </c>
      <c r="E1059" t="s">
        <v>12</v>
      </c>
      <c r="F1059" s="1">
        <v>5.7</v>
      </c>
      <c r="G1059" t="str">
        <f t="shared" si="49"/>
        <v>Low</v>
      </c>
      <c r="H1059">
        <v>1.2</v>
      </c>
      <c r="I1059">
        <v>3.83</v>
      </c>
      <c r="J1059" s="1">
        <v>2</v>
      </c>
      <c r="K1059" t="str">
        <f t="shared" si="50"/>
        <v>1-2 hours</v>
      </c>
      <c r="L1059" t="s">
        <v>17</v>
      </c>
      <c r="M1059">
        <v>2</v>
      </c>
      <c r="N1059">
        <v>8</v>
      </c>
      <c r="O1059">
        <v>7</v>
      </c>
      <c r="P1059">
        <v>0</v>
      </c>
    </row>
    <row r="1060" spans="1:16" x14ac:dyDescent="0.25">
      <c r="A1060">
        <v>13</v>
      </c>
      <c r="B1060" t="s">
        <v>14</v>
      </c>
      <c r="C1060">
        <v>1.3</v>
      </c>
      <c r="D1060" t="str">
        <f t="shared" si="48"/>
        <v>Low</v>
      </c>
      <c r="E1060" t="s">
        <v>15</v>
      </c>
      <c r="F1060" s="1">
        <v>8.6999999999999993</v>
      </c>
      <c r="G1060" t="str">
        <f t="shared" si="49"/>
        <v>Normal</v>
      </c>
      <c r="H1060">
        <v>0.9</v>
      </c>
      <c r="I1060">
        <v>4</v>
      </c>
      <c r="J1060" s="1">
        <v>0.1</v>
      </c>
      <c r="K1060" t="str">
        <f t="shared" si="50"/>
        <v>0-1 hours</v>
      </c>
      <c r="L1060" t="s">
        <v>13</v>
      </c>
      <c r="M1060">
        <v>10</v>
      </c>
      <c r="N1060">
        <v>9</v>
      </c>
      <c r="O1060">
        <v>9</v>
      </c>
      <c r="P1060">
        <v>0</v>
      </c>
    </row>
    <row r="1061" spans="1:16" x14ac:dyDescent="0.25">
      <c r="A1061">
        <v>13</v>
      </c>
      <c r="B1061" t="s">
        <v>14</v>
      </c>
      <c r="C1061">
        <v>1.1000000000000001</v>
      </c>
      <c r="D1061" t="str">
        <f t="shared" si="48"/>
        <v>Low</v>
      </c>
      <c r="E1061" t="s">
        <v>18</v>
      </c>
      <c r="F1061" s="1">
        <v>6.7</v>
      </c>
      <c r="G1061" t="str">
        <f t="shared" si="49"/>
        <v>Low</v>
      </c>
      <c r="H1061">
        <v>2</v>
      </c>
      <c r="I1061">
        <v>3.63</v>
      </c>
      <c r="J1061" s="1">
        <v>0.2</v>
      </c>
      <c r="K1061" t="str">
        <f t="shared" si="50"/>
        <v>0-1 hours</v>
      </c>
      <c r="L1061" t="s">
        <v>17</v>
      </c>
      <c r="M1061">
        <v>3</v>
      </c>
      <c r="N1061">
        <v>10</v>
      </c>
      <c r="O1061">
        <v>5</v>
      </c>
      <c r="P1061">
        <v>0</v>
      </c>
    </row>
    <row r="1062" spans="1:16" x14ac:dyDescent="0.25">
      <c r="A1062">
        <v>13</v>
      </c>
      <c r="B1062" t="s">
        <v>14</v>
      </c>
      <c r="C1062">
        <v>3.3</v>
      </c>
      <c r="D1062" t="str">
        <f t="shared" si="48"/>
        <v>Medium</v>
      </c>
      <c r="E1062" t="s">
        <v>15</v>
      </c>
      <c r="F1062" s="1">
        <v>9</v>
      </c>
      <c r="G1062" t="str">
        <f t="shared" si="49"/>
        <v>Normal</v>
      </c>
      <c r="H1062">
        <v>0.7</v>
      </c>
      <c r="I1062">
        <v>2.4900000000000002</v>
      </c>
      <c r="J1062" s="1">
        <v>0.6</v>
      </c>
      <c r="K1062" t="str">
        <f t="shared" si="50"/>
        <v>0-1 hours</v>
      </c>
      <c r="L1062" t="s">
        <v>17</v>
      </c>
      <c r="M1062">
        <v>3</v>
      </c>
      <c r="N1062">
        <v>6</v>
      </c>
      <c r="O1062">
        <v>4</v>
      </c>
      <c r="P1062">
        <v>0</v>
      </c>
    </row>
    <row r="1063" spans="1:16" x14ac:dyDescent="0.25">
      <c r="A1063">
        <v>16</v>
      </c>
      <c r="B1063" t="s">
        <v>11</v>
      </c>
      <c r="C1063">
        <v>7.4</v>
      </c>
      <c r="D1063" t="str">
        <f t="shared" si="48"/>
        <v>High</v>
      </c>
      <c r="E1063" t="s">
        <v>18</v>
      </c>
      <c r="F1063" s="1">
        <v>7.2</v>
      </c>
      <c r="G1063" t="str">
        <f t="shared" si="49"/>
        <v>Low</v>
      </c>
      <c r="H1063">
        <v>1.8</v>
      </c>
      <c r="I1063">
        <v>2.11</v>
      </c>
      <c r="J1063" s="1">
        <v>1.4</v>
      </c>
      <c r="K1063" t="str">
        <f t="shared" si="50"/>
        <v>1-2 hours</v>
      </c>
      <c r="L1063" t="s">
        <v>17</v>
      </c>
      <c r="M1063">
        <v>3</v>
      </c>
      <c r="N1063">
        <v>7</v>
      </c>
      <c r="O1063">
        <v>3</v>
      </c>
      <c r="P1063">
        <v>0</v>
      </c>
    </row>
    <row r="1064" spans="1:16" x14ac:dyDescent="0.25">
      <c r="A1064">
        <v>13</v>
      </c>
      <c r="B1064" t="s">
        <v>11</v>
      </c>
      <c r="C1064">
        <v>5.8</v>
      </c>
      <c r="D1064" t="str">
        <f t="shared" si="48"/>
        <v>Medium</v>
      </c>
      <c r="E1064" t="s">
        <v>15</v>
      </c>
      <c r="F1064" s="1">
        <v>8.3000000000000007</v>
      </c>
      <c r="G1064" t="str">
        <f t="shared" si="49"/>
        <v>Normal</v>
      </c>
      <c r="H1064">
        <v>2.8</v>
      </c>
      <c r="I1064">
        <v>2.63</v>
      </c>
      <c r="J1064" s="1">
        <v>0.6</v>
      </c>
      <c r="K1064" t="str">
        <f t="shared" si="50"/>
        <v>0-1 hours</v>
      </c>
      <c r="L1064" t="s">
        <v>16</v>
      </c>
      <c r="M1064">
        <v>5</v>
      </c>
      <c r="N1064">
        <v>3</v>
      </c>
      <c r="O1064">
        <v>7</v>
      </c>
      <c r="P1064">
        <v>0</v>
      </c>
    </row>
    <row r="1065" spans="1:16" x14ac:dyDescent="0.25">
      <c r="A1065">
        <v>18</v>
      </c>
      <c r="B1065" t="s">
        <v>14</v>
      </c>
      <c r="C1065">
        <v>4.5999999999999996</v>
      </c>
      <c r="D1065" t="str">
        <f t="shared" si="48"/>
        <v>Medium</v>
      </c>
      <c r="E1065" t="s">
        <v>15</v>
      </c>
      <c r="F1065" s="1">
        <v>6.8</v>
      </c>
      <c r="G1065" t="str">
        <f t="shared" si="49"/>
        <v>Low</v>
      </c>
      <c r="H1065">
        <v>1.5</v>
      </c>
      <c r="I1065">
        <v>2.4</v>
      </c>
      <c r="J1065" s="1">
        <v>1.4</v>
      </c>
      <c r="K1065" t="str">
        <f t="shared" si="50"/>
        <v>1-2 hours</v>
      </c>
      <c r="L1065" t="s">
        <v>17</v>
      </c>
      <c r="M1065">
        <v>5</v>
      </c>
      <c r="N1065">
        <v>10</v>
      </c>
      <c r="O1065">
        <v>2</v>
      </c>
      <c r="P1065">
        <v>0</v>
      </c>
    </row>
    <row r="1066" spans="1:16" x14ac:dyDescent="0.25">
      <c r="A1066">
        <v>18</v>
      </c>
      <c r="B1066" t="s">
        <v>14</v>
      </c>
      <c r="C1066">
        <v>2.5</v>
      </c>
      <c r="D1066" t="str">
        <f t="shared" si="48"/>
        <v>Medium</v>
      </c>
      <c r="E1066" t="s">
        <v>15</v>
      </c>
      <c r="F1066" s="1">
        <v>7.1</v>
      </c>
      <c r="G1066" t="str">
        <f t="shared" si="49"/>
        <v>Low</v>
      </c>
      <c r="H1066">
        <v>1.6</v>
      </c>
      <c r="I1066">
        <v>3.97</v>
      </c>
      <c r="J1066" s="1">
        <v>0.7</v>
      </c>
      <c r="K1066" t="str">
        <f t="shared" si="50"/>
        <v>0-1 hours</v>
      </c>
      <c r="L1066" t="s">
        <v>17</v>
      </c>
      <c r="M1066">
        <v>10</v>
      </c>
      <c r="N1066">
        <v>7</v>
      </c>
      <c r="O1066">
        <v>3</v>
      </c>
      <c r="P1066">
        <v>0</v>
      </c>
    </row>
    <row r="1067" spans="1:16" x14ac:dyDescent="0.25">
      <c r="A1067">
        <v>18</v>
      </c>
      <c r="B1067" t="s">
        <v>11</v>
      </c>
      <c r="C1067">
        <v>4</v>
      </c>
      <c r="D1067" t="str">
        <f t="shared" si="48"/>
        <v>Medium</v>
      </c>
      <c r="E1067" t="s">
        <v>18</v>
      </c>
      <c r="F1067" s="1">
        <v>8</v>
      </c>
      <c r="G1067" t="str">
        <f t="shared" si="49"/>
        <v>Normal</v>
      </c>
      <c r="H1067">
        <v>2</v>
      </c>
      <c r="I1067">
        <v>3.04</v>
      </c>
      <c r="J1067" s="1">
        <v>1.4</v>
      </c>
      <c r="K1067" t="str">
        <f t="shared" si="50"/>
        <v>1-2 hours</v>
      </c>
      <c r="L1067" t="s">
        <v>16</v>
      </c>
      <c r="M1067">
        <v>3</v>
      </c>
      <c r="N1067">
        <v>1</v>
      </c>
      <c r="O1067">
        <v>8</v>
      </c>
      <c r="P1067">
        <v>0</v>
      </c>
    </row>
    <row r="1068" spans="1:16" x14ac:dyDescent="0.25">
      <c r="A1068">
        <v>17</v>
      </c>
      <c r="B1068" t="s">
        <v>14</v>
      </c>
      <c r="C1068">
        <v>6.6</v>
      </c>
      <c r="D1068" t="str">
        <f t="shared" si="48"/>
        <v>Medium</v>
      </c>
      <c r="E1068" t="s">
        <v>18</v>
      </c>
      <c r="F1068" s="1">
        <v>8</v>
      </c>
      <c r="G1068" t="str">
        <f t="shared" si="49"/>
        <v>Normal</v>
      </c>
      <c r="H1068">
        <v>1.9</v>
      </c>
      <c r="I1068">
        <v>2.86</v>
      </c>
      <c r="J1068" s="1">
        <v>0.4</v>
      </c>
      <c r="K1068" t="str">
        <f t="shared" si="50"/>
        <v>0-1 hours</v>
      </c>
      <c r="L1068" t="s">
        <v>17</v>
      </c>
      <c r="M1068">
        <v>4</v>
      </c>
      <c r="N1068">
        <v>8</v>
      </c>
      <c r="O1068">
        <v>5</v>
      </c>
      <c r="P1068">
        <v>0</v>
      </c>
    </row>
    <row r="1069" spans="1:16" x14ac:dyDescent="0.25">
      <c r="A1069">
        <v>14</v>
      </c>
      <c r="B1069" t="s">
        <v>14</v>
      </c>
      <c r="C1069">
        <v>2.9</v>
      </c>
      <c r="D1069" t="str">
        <f t="shared" si="48"/>
        <v>Medium</v>
      </c>
      <c r="E1069" t="s">
        <v>15</v>
      </c>
      <c r="F1069" s="1">
        <v>5.8</v>
      </c>
      <c r="G1069" t="str">
        <f t="shared" si="49"/>
        <v>Low</v>
      </c>
      <c r="H1069">
        <v>1.6</v>
      </c>
      <c r="I1069">
        <v>3.34</v>
      </c>
      <c r="J1069" s="1">
        <v>1.1000000000000001</v>
      </c>
      <c r="K1069" t="str">
        <f t="shared" si="50"/>
        <v>1-2 hours</v>
      </c>
      <c r="L1069" t="s">
        <v>17</v>
      </c>
      <c r="M1069">
        <v>6</v>
      </c>
      <c r="N1069">
        <v>10</v>
      </c>
      <c r="O1069">
        <v>3</v>
      </c>
      <c r="P1069">
        <v>0</v>
      </c>
    </row>
    <row r="1070" spans="1:16" x14ac:dyDescent="0.25">
      <c r="A1070">
        <v>14</v>
      </c>
      <c r="B1070" t="s">
        <v>11</v>
      </c>
      <c r="C1070">
        <v>7.2</v>
      </c>
      <c r="D1070" t="str">
        <f t="shared" si="48"/>
        <v>High</v>
      </c>
      <c r="E1070" t="s">
        <v>15</v>
      </c>
      <c r="F1070" s="1">
        <v>5.7</v>
      </c>
      <c r="G1070" t="str">
        <f t="shared" si="49"/>
        <v>Low</v>
      </c>
      <c r="H1070">
        <v>2.7</v>
      </c>
      <c r="I1070">
        <v>2.76</v>
      </c>
      <c r="J1070" s="1">
        <v>0.4</v>
      </c>
      <c r="K1070" t="str">
        <f t="shared" si="50"/>
        <v>0-1 hours</v>
      </c>
      <c r="L1070" t="s">
        <v>13</v>
      </c>
      <c r="M1070">
        <v>7</v>
      </c>
      <c r="N1070">
        <v>3</v>
      </c>
      <c r="O1070">
        <v>7</v>
      </c>
      <c r="P1070">
        <v>0</v>
      </c>
    </row>
    <row r="1071" spans="1:16" x14ac:dyDescent="0.25">
      <c r="A1071">
        <v>13</v>
      </c>
      <c r="B1071" t="s">
        <v>14</v>
      </c>
      <c r="C1071">
        <v>2.9</v>
      </c>
      <c r="D1071" t="str">
        <f t="shared" si="48"/>
        <v>Medium</v>
      </c>
      <c r="E1071" t="s">
        <v>12</v>
      </c>
      <c r="F1071" s="1">
        <v>5.3</v>
      </c>
      <c r="G1071" t="str">
        <f t="shared" si="49"/>
        <v>Low</v>
      </c>
      <c r="H1071">
        <v>1</v>
      </c>
      <c r="I1071">
        <v>3.89</v>
      </c>
      <c r="J1071" s="1">
        <v>1.7</v>
      </c>
      <c r="K1071" t="str">
        <f t="shared" si="50"/>
        <v>1-2 hours</v>
      </c>
      <c r="L1071" t="s">
        <v>16</v>
      </c>
      <c r="M1071">
        <v>9</v>
      </c>
      <c r="N1071">
        <v>2</v>
      </c>
      <c r="O1071">
        <v>4</v>
      </c>
      <c r="P1071">
        <v>0</v>
      </c>
    </row>
    <row r="1072" spans="1:16" x14ac:dyDescent="0.25">
      <c r="A1072">
        <v>15</v>
      </c>
      <c r="B1072" t="s">
        <v>14</v>
      </c>
      <c r="C1072">
        <v>7.3</v>
      </c>
      <c r="D1072" t="str">
        <f t="shared" si="48"/>
        <v>High</v>
      </c>
      <c r="E1072" t="s">
        <v>18</v>
      </c>
      <c r="F1072" s="1">
        <v>5.7</v>
      </c>
      <c r="G1072" t="str">
        <f t="shared" si="49"/>
        <v>Low</v>
      </c>
      <c r="H1072">
        <v>2.9</v>
      </c>
      <c r="I1072">
        <v>3.48</v>
      </c>
      <c r="J1072" s="1">
        <v>1.8</v>
      </c>
      <c r="K1072" t="str">
        <f t="shared" si="50"/>
        <v>1-2 hours</v>
      </c>
      <c r="L1072" t="s">
        <v>17</v>
      </c>
      <c r="M1072">
        <v>2</v>
      </c>
      <c r="N1072">
        <v>7</v>
      </c>
      <c r="O1072">
        <v>8</v>
      </c>
      <c r="P1072">
        <v>0</v>
      </c>
    </row>
    <row r="1073" spans="1:16" x14ac:dyDescent="0.25">
      <c r="A1073">
        <v>16</v>
      </c>
      <c r="B1073" t="s">
        <v>14</v>
      </c>
      <c r="C1073">
        <v>3.7</v>
      </c>
      <c r="D1073" t="str">
        <f t="shared" si="48"/>
        <v>Medium</v>
      </c>
      <c r="E1073" t="s">
        <v>15</v>
      </c>
      <c r="F1073" s="1">
        <v>9</v>
      </c>
      <c r="G1073" t="str">
        <f t="shared" si="49"/>
        <v>Normal</v>
      </c>
      <c r="H1073">
        <v>1.5</v>
      </c>
      <c r="I1073">
        <v>3.37</v>
      </c>
      <c r="J1073" s="1">
        <v>1.9</v>
      </c>
      <c r="K1073" t="str">
        <f t="shared" si="50"/>
        <v>1-2 hours</v>
      </c>
      <c r="L1073" t="s">
        <v>13</v>
      </c>
      <c r="M1073">
        <v>4</v>
      </c>
      <c r="N1073">
        <v>3</v>
      </c>
      <c r="O1073">
        <v>1</v>
      </c>
      <c r="P1073">
        <v>0</v>
      </c>
    </row>
    <row r="1074" spans="1:16" x14ac:dyDescent="0.25">
      <c r="A1074">
        <v>16</v>
      </c>
      <c r="B1074" t="s">
        <v>11</v>
      </c>
      <c r="C1074">
        <v>7</v>
      </c>
      <c r="D1074" t="str">
        <f t="shared" si="48"/>
        <v>High</v>
      </c>
      <c r="E1074" t="s">
        <v>12</v>
      </c>
      <c r="F1074" s="1">
        <v>4.8</v>
      </c>
      <c r="G1074" t="str">
        <f t="shared" si="49"/>
        <v>Low</v>
      </c>
      <c r="H1074">
        <v>1.7</v>
      </c>
      <c r="I1074">
        <v>2.9</v>
      </c>
      <c r="J1074" s="1">
        <v>0.3</v>
      </c>
      <c r="K1074" t="str">
        <f t="shared" si="50"/>
        <v>0-1 hours</v>
      </c>
      <c r="L1074" t="s">
        <v>13</v>
      </c>
      <c r="M1074">
        <v>4</v>
      </c>
      <c r="N1074">
        <v>1</v>
      </c>
      <c r="O1074">
        <v>8</v>
      </c>
      <c r="P1074">
        <v>0</v>
      </c>
    </row>
    <row r="1075" spans="1:16" x14ac:dyDescent="0.25">
      <c r="A1075">
        <v>15</v>
      </c>
      <c r="B1075" t="s">
        <v>11</v>
      </c>
      <c r="C1075">
        <v>4</v>
      </c>
      <c r="D1075" t="str">
        <f t="shared" si="48"/>
        <v>Medium</v>
      </c>
      <c r="E1075" t="s">
        <v>15</v>
      </c>
      <c r="F1075" s="1">
        <v>8.4</v>
      </c>
      <c r="G1075" t="str">
        <f t="shared" si="49"/>
        <v>Normal</v>
      </c>
      <c r="H1075">
        <v>2.2999999999999998</v>
      </c>
      <c r="I1075">
        <v>2.52</v>
      </c>
      <c r="J1075" s="1">
        <v>0.9</v>
      </c>
      <c r="K1075" t="str">
        <f t="shared" si="50"/>
        <v>0-1 hours</v>
      </c>
      <c r="L1075" t="s">
        <v>13</v>
      </c>
      <c r="M1075">
        <v>4</v>
      </c>
      <c r="N1075">
        <v>5</v>
      </c>
      <c r="O1075">
        <v>3</v>
      </c>
      <c r="P1075">
        <v>0</v>
      </c>
    </row>
    <row r="1076" spans="1:16" x14ac:dyDescent="0.25">
      <c r="A1076">
        <v>16</v>
      </c>
      <c r="B1076" t="s">
        <v>11</v>
      </c>
      <c r="C1076">
        <v>2.7</v>
      </c>
      <c r="D1076" t="str">
        <f t="shared" si="48"/>
        <v>Medium</v>
      </c>
      <c r="E1076" t="s">
        <v>18</v>
      </c>
      <c r="F1076" s="1">
        <v>7.5</v>
      </c>
      <c r="G1076" t="str">
        <f t="shared" si="49"/>
        <v>Low</v>
      </c>
      <c r="H1076">
        <v>2.8</v>
      </c>
      <c r="I1076">
        <v>3.53</v>
      </c>
      <c r="J1076" s="1">
        <v>0.9</v>
      </c>
      <c r="K1076" t="str">
        <f t="shared" si="50"/>
        <v>0-1 hours</v>
      </c>
      <c r="L1076" t="s">
        <v>17</v>
      </c>
      <c r="M1076">
        <v>3</v>
      </c>
      <c r="N1076">
        <v>1</v>
      </c>
      <c r="O1076">
        <v>5</v>
      </c>
      <c r="P1076">
        <v>0</v>
      </c>
    </row>
    <row r="1077" spans="1:16" x14ac:dyDescent="0.25">
      <c r="A1077">
        <v>15</v>
      </c>
      <c r="B1077" t="s">
        <v>11</v>
      </c>
      <c r="C1077">
        <v>7.2</v>
      </c>
      <c r="D1077" t="str">
        <f t="shared" si="48"/>
        <v>High</v>
      </c>
      <c r="E1077" t="s">
        <v>18</v>
      </c>
      <c r="F1077" s="1">
        <v>5.7</v>
      </c>
      <c r="G1077" t="str">
        <f t="shared" si="49"/>
        <v>Low</v>
      </c>
      <c r="H1077">
        <v>0.7</v>
      </c>
      <c r="I1077">
        <v>3.89</v>
      </c>
      <c r="J1077" s="1">
        <v>1</v>
      </c>
      <c r="K1077" t="str">
        <f t="shared" si="50"/>
        <v>0-1 hours</v>
      </c>
      <c r="L1077" t="s">
        <v>17</v>
      </c>
      <c r="M1077">
        <v>1</v>
      </c>
      <c r="N1077">
        <v>3</v>
      </c>
      <c r="O1077">
        <v>6</v>
      </c>
      <c r="P1077">
        <v>0</v>
      </c>
    </row>
    <row r="1078" spans="1:16" x14ac:dyDescent="0.25">
      <c r="A1078">
        <v>18</v>
      </c>
      <c r="B1078" t="s">
        <v>11</v>
      </c>
      <c r="C1078">
        <v>7.9</v>
      </c>
      <c r="D1078" t="str">
        <f t="shared" si="48"/>
        <v>High</v>
      </c>
      <c r="E1078" t="s">
        <v>18</v>
      </c>
      <c r="F1078" s="1">
        <v>7</v>
      </c>
      <c r="G1078" t="str">
        <f t="shared" si="49"/>
        <v>Low</v>
      </c>
      <c r="H1078">
        <v>2.7</v>
      </c>
      <c r="I1078">
        <v>3.9</v>
      </c>
      <c r="J1078" s="1">
        <v>1</v>
      </c>
      <c r="K1078" t="str">
        <f t="shared" si="50"/>
        <v>0-1 hours</v>
      </c>
      <c r="L1078" t="s">
        <v>17</v>
      </c>
      <c r="M1078">
        <v>1</v>
      </c>
      <c r="N1078">
        <v>2</v>
      </c>
      <c r="O1078">
        <v>10</v>
      </c>
      <c r="P1078">
        <v>0</v>
      </c>
    </row>
    <row r="1079" spans="1:16" x14ac:dyDescent="0.25">
      <c r="A1079">
        <v>14</v>
      </c>
      <c r="B1079" t="s">
        <v>14</v>
      </c>
      <c r="C1079">
        <v>5.0999999999999996</v>
      </c>
      <c r="D1079" t="str">
        <f t="shared" si="48"/>
        <v>Medium</v>
      </c>
      <c r="E1079" t="s">
        <v>12</v>
      </c>
      <c r="F1079" s="1">
        <v>5.3</v>
      </c>
      <c r="G1079" t="str">
        <f t="shared" si="49"/>
        <v>Low</v>
      </c>
      <c r="H1079">
        <v>2.2999999999999998</v>
      </c>
      <c r="I1079">
        <v>2.31</v>
      </c>
      <c r="J1079" s="1">
        <v>0.2</v>
      </c>
      <c r="K1079" t="str">
        <f t="shared" si="50"/>
        <v>0-1 hours</v>
      </c>
      <c r="L1079" t="s">
        <v>16</v>
      </c>
      <c r="M1079">
        <v>3</v>
      </c>
      <c r="N1079">
        <v>3</v>
      </c>
      <c r="O1079">
        <v>6</v>
      </c>
      <c r="P1079">
        <v>0</v>
      </c>
    </row>
    <row r="1080" spans="1:16" x14ac:dyDescent="0.25">
      <c r="A1080">
        <v>15</v>
      </c>
      <c r="B1080" t="s">
        <v>14</v>
      </c>
      <c r="C1080">
        <v>6.4</v>
      </c>
      <c r="D1080" t="str">
        <f t="shared" si="48"/>
        <v>Medium</v>
      </c>
      <c r="E1080" t="s">
        <v>18</v>
      </c>
      <c r="F1080" s="1">
        <v>7.7</v>
      </c>
      <c r="G1080" t="str">
        <f t="shared" si="49"/>
        <v>Low</v>
      </c>
      <c r="H1080">
        <v>0.7</v>
      </c>
      <c r="I1080">
        <v>3.86</v>
      </c>
      <c r="J1080" s="1">
        <v>1.5</v>
      </c>
      <c r="K1080" t="str">
        <f t="shared" si="50"/>
        <v>1-2 hours</v>
      </c>
      <c r="L1080" t="s">
        <v>16</v>
      </c>
      <c r="M1080">
        <v>10</v>
      </c>
      <c r="N1080">
        <v>2</v>
      </c>
      <c r="O1080">
        <v>7</v>
      </c>
      <c r="P1080">
        <v>0</v>
      </c>
    </row>
    <row r="1081" spans="1:16" x14ac:dyDescent="0.25">
      <c r="A1081">
        <v>16</v>
      </c>
      <c r="B1081" t="s">
        <v>14</v>
      </c>
      <c r="C1081">
        <v>4.4000000000000004</v>
      </c>
      <c r="D1081" t="str">
        <f t="shared" si="48"/>
        <v>Medium</v>
      </c>
      <c r="E1081" t="s">
        <v>18</v>
      </c>
      <c r="F1081" s="1">
        <v>4.2</v>
      </c>
      <c r="G1081" t="str">
        <f t="shared" si="49"/>
        <v>Low</v>
      </c>
      <c r="H1081">
        <v>2</v>
      </c>
      <c r="I1081">
        <v>3.89</v>
      </c>
      <c r="J1081" s="1">
        <v>1.1000000000000001</v>
      </c>
      <c r="K1081" t="str">
        <f t="shared" si="50"/>
        <v>1-2 hours</v>
      </c>
      <c r="L1081" t="s">
        <v>17</v>
      </c>
      <c r="M1081">
        <v>2</v>
      </c>
      <c r="N1081">
        <v>9</v>
      </c>
      <c r="O1081">
        <v>8</v>
      </c>
      <c r="P1081">
        <v>0</v>
      </c>
    </row>
    <row r="1082" spans="1:16" x14ac:dyDescent="0.25">
      <c r="A1082">
        <v>16</v>
      </c>
      <c r="B1082" t="s">
        <v>11</v>
      </c>
      <c r="C1082">
        <v>7</v>
      </c>
      <c r="D1082" t="str">
        <f t="shared" si="48"/>
        <v>High</v>
      </c>
      <c r="E1082" t="s">
        <v>15</v>
      </c>
      <c r="F1082" s="1">
        <v>7.4</v>
      </c>
      <c r="G1082" t="str">
        <f t="shared" si="49"/>
        <v>Low</v>
      </c>
      <c r="H1082">
        <v>2.6</v>
      </c>
      <c r="I1082">
        <v>2.92</v>
      </c>
      <c r="J1082" s="1">
        <v>1</v>
      </c>
      <c r="K1082" t="str">
        <f t="shared" si="50"/>
        <v>0-1 hours</v>
      </c>
      <c r="L1082" t="s">
        <v>17</v>
      </c>
      <c r="M1082">
        <v>10</v>
      </c>
      <c r="N1082">
        <v>6</v>
      </c>
      <c r="O1082">
        <v>3</v>
      </c>
      <c r="P1082">
        <v>0</v>
      </c>
    </row>
    <row r="1083" spans="1:16" x14ac:dyDescent="0.25">
      <c r="A1083">
        <v>17</v>
      </c>
      <c r="B1083" t="s">
        <v>14</v>
      </c>
      <c r="C1083">
        <v>7.8</v>
      </c>
      <c r="D1083" t="str">
        <f t="shared" si="48"/>
        <v>High</v>
      </c>
      <c r="E1083" t="s">
        <v>15</v>
      </c>
      <c r="F1083" s="1">
        <v>5.7</v>
      </c>
      <c r="G1083" t="str">
        <f t="shared" si="49"/>
        <v>Low</v>
      </c>
      <c r="H1083">
        <v>1.2</v>
      </c>
      <c r="I1083">
        <v>3.72</v>
      </c>
      <c r="J1083" s="1">
        <v>1.2</v>
      </c>
      <c r="K1083" t="str">
        <f t="shared" si="50"/>
        <v>1-2 hours</v>
      </c>
      <c r="L1083" t="s">
        <v>16</v>
      </c>
      <c r="M1083">
        <v>10</v>
      </c>
      <c r="N1083">
        <v>2</v>
      </c>
      <c r="O1083">
        <v>6</v>
      </c>
      <c r="P1083">
        <v>0</v>
      </c>
    </row>
    <row r="1084" spans="1:16" x14ac:dyDescent="0.25">
      <c r="A1084">
        <v>14</v>
      </c>
      <c r="B1084" t="s">
        <v>14</v>
      </c>
      <c r="C1084">
        <v>5</v>
      </c>
      <c r="D1084" t="str">
        <f t="shared" si="48"/>
        <v>Medium</v>
      </c>
      <c r="E1084" t="s">
        <v>12</v>
      </c>
      <c r="F1084" s="1">
        <v>6.2</v>
      </c>
      <c r="G1084" t="str">
        <f t="shared" si="49"/>
        <v>Low</v>
      </c>
      <c r="H1084">
        <v>1</v>
      </c>
      <c r="I1084">
        <v>2</v>
      </c>
      <c r="J1084" s="1">
        <v>1.5</v>
      </c>
      <c r="K1084" t="str">
        <f t="shared" si="50"/>
        <v>1-2 hours</v>
      </c>
      <c r="L1084" t="s">
        <v>13</v>
      </c>
      <c r="M1084">
        <v>5</v>
      </c>
      <c r="N1084">
        <v>6</v>
      </c>
      <c r="O1084">
        <v>1</v>
      </c>
      <c r="P1084">
        <v>0</v>
      </c>
    </row>
    <row r="1085" spans="1:16" x14ac:dyDescent="0.25">
      <c r="A1085">
        <v>17</v>
      </c>
      <c r="B1085" t="s">
        <v>11</v>
      </c>
      <c r="C1085">
        <v>6.6</v>
      </c>
      <c r="D1085" t="str">
        <f t="shared" si="48"/>
        <v>Medium</v>
      </c>
      <c r="E1085" t="s">
        <v>15</v>
      </c>
      <c r="F1085" s="1">
        <v>5.3</v>
      </c>
      <c r="G1085" t="str">
        <f t="shared" si="49"/>
        <v>Low</v>
      </c>
      <c r="H1085">
        <v>1.1000000000000001</v>
      </c>
      <c r="I1085">
        <v>3.5</v>
      </c>
      <c r="J1085" s="1">
        <v>1.7</v>
      </c>
      <c r="K1085" t="str">
        <f t="shared" si="50"/>
        <v>1-2 hours</v>
      </c>
      <c r="L1085" t="s">
        <v>17</v>
      </c>
      <c r="M1085">
        <v>1</v>
      </c>
      <c r="N1085">
        <v>10</v>
      </c>
      <c r="O1085">
        <v>7</v>
      </c>
      <c r="P1085">
        <v>0</v>
      </c>
    </row>
    <row r="1086" spans="1:16" x14ac:dyDescent="0.25">
      <c r="A1086">
        <v>18</v>
      </c>
      <c r="B1086" t="s">
        <v>11</v>
      </c>
      <c r="C1086">
        <v>2.6</v>
      </c>
      <c r="D1086" t="str">
        <f t="shared" si="48"/>
        <v>Medium</v>
      </c>
      <c r="E1086" t="s">
        <v>18</v>
      </c>
      <c r="F1086" s="1">
        <v>8.6</v>
      </c>
      <c r="G1086" t="str">
        <f t="shared" si="49"/>
        <v>Normal</v>
      </c>
      <c r="H1086">
        <v>2.7</v>
      </c>
      <c r="I1086">
        <v>3.28</v>
      </c>
      <c r="J1086" s="1">
        <v>0.8</v>
      </c>
      <c r="K1086" t="str">
        <f t="shared" si="50"/>
        <v>0-1 hours</v>
      </c>
      <c r="L1086" t="s">
        <v>16</v>
      </c>
      <c r="M1086">
        <v>5</v>
      </c>
      <c r="N1086">
        <v>4</v>
      </c>
      <c r="O1086">
        <v>6</v>
      </c>
      <c r="P1086">
        <v>0</v>
      </c>
    </row>
    <row r="1087" spans="1:16" x14ac:dyDescent="0.25">
      <c r="A1087">
        <v>13</v>
      </c>
      <c r="B1087" t="s">
        <v>14</v>
      </c>
      <c r="C1087">
        <v>5.8</v>
      </c>
      <c r="D1087" t="str">
        <f t="shared" si="48"/>
        <v>Medium</v>
      </c>
      <c r="E1087" t="s">
        <v>12</v>
      </c>
      <c r="F1087" s="1">
        <v>4.4000000000000004</v>
      </c>
      <c r="G1087" t="str">
        <f t="shared" si="49"/>
        <v>Low</v>
      </c>
      <c r="H1087">
        <v>1.8</v>
      </c>
      <c r="I1087">
        <v>3.8</v>
      </c>
      <c r="J1087" s="1">
        <v>1</v>
      </c>
      <c r="K1087" t="str">
        <f t="shared" si="50"/>
        <v>0-1 hours</v>
      </c>
      <c r="L1087" t="s">
        <v>16</v>
      </c>
      <c r="M1087">
        <v>2</v>
      </c>
      <c r="N1087">
        <v>2</v>
      </c>
      <c r="O1087">
        <v>1</v>
      </c>
      <c r="P1087">
        <v>0</v>
      </c>
    </row>
    <row r="1088" spans="1:16" x14ac:dyDescent="0.25">
      <c r="A1088">
        <v>14</v>
      </c>
      <c r="B1088" t="s">
        <v>14</v>
      </c>
      <c r="C1088">
        <v>5.6</v>
      </c>
      <c r="D1088" t="str">
        <f t="shared" si="48"/>
        <v>Medium</v>
      </c>
      <c r="E1088" t="s">
        <v>15</v>
      </c>
      <c r="F1088" s="1">
        <v>6.8</v>
      </c>
      <c r="G1088" t="str">
        <f t="shared" si="49"/>
        <v>Low</v>
      </c>
      <c r="H1088">
        <v>2.2999999999999998</v>
      </c>
      <c r="I1088">
        <v>2.66</v>
      </c>
      <c r="J1088" s="1">
        <v>1.1000000000000001</v>
      </c>
      <c r="K1088" t="str">
        <f t="shared" si="50"/>
        <v>1-2 hours</v>
      </c>
      <c r="L1088" t="s">
        <v>16</v>
      </c>
      <c r="M1088">
        <v>7</v>
      </c>
      <c r="N1088">
        <v>6</v>
      </c>
      <c r="O1088">
        <v>2</v>
      </c>
      <c r="P1088">
        <v>0</v>
      </c>
    </row>
    <row r="1089" spans="1:16" x14ac:dyDescent="0.25">
      <c r="A1089">
        <v>18</v>
      </c>
      <c r="B1089" t="s">
        <v>11</v>
      </c>
      <c r="C1089">
        <v>4.5999999999999996</v>
      </c>
      <c r="D1089" t="str">
        <f t="shared" si="48"/>
        <v>Medium</v>
      </c>
      <c r="E1089" t="s">
        <v>18</v>
      </c>
      <c r="F1089" s="1">
        <v>4.3</v>
      </c>
      <c r="G1089" t="str">
        <f t="shared" si="49"/>
        <v>Low</v>
      </c>
      <c r="H1089">
        <v>2.9</v>
      </c>
      <c r="I1089">
        <v>2.95</v>
      </c>
      <c r="J1089" s="1">
        <v>0.6</v>
      </c>
      <c r="K1089" t="str">
        <f t="shared" si="50"/>
        <v>0-1 hours</v>
      </c>
      <c r="L1089" t="s">
        <v>17</v>
      </c>
      <c r="M1089">
        <v>7</v>
      </c>
      <c r="N1089">
        <v>9</v>
      </c>
      <c r="O1089">
        <v>8</v>
      </c>
      <c r="P1089">
        <v>0</v>
      </c>
    </row>
    <row r="1090" spans="1:16" x14ac:dyDescent="0.25">
      <c r="A1090">
        <v>19</v>
      </c>
      <c r="B1090" t="s">
        <v>11</v>
      </c>
      <c r="C1090">
        <v>1.4</v>
      </c>
      <c r="D1090" t="str">
        <f t="shared" ref="D1090:D1153" si="51">IF(C1090&lt;2,"Low",IF(C1090&lt;7,"Medium","High"))</f>
        <v>Low</v>
      </c>
      <c r="E1090" t="s">
        <v>18</v>
      </c>
      <c r="F1090" s="1">
        <v>4.7</v>
      </c>
      <c r="G1090" t="str">
        <f t="shared" ref="G1090:G1153" si="52">IF(F1090&gt;=8,"Normal","Low")</f>
        <v>Low</v>
      </c>
      <c r="H1090">
        <v>0.5</v>
      </c>
      <c r="I1090">
        <v>3.57</v>
      </c>
      <c r="J1090" s="1">
        <v>1.7</v>
      </c>
      <c r="K1090" t="str">
        <f t="shared" ref="K1090:K1153" si="53">IF(J1090=0,"No activity",IF(J1090&lt;=1,"0-1 hours","1-2 hours"))</f>
        <v>1-2 hours</v>
      </c>
      <c r="L1090" t="s">
        <v>16</v>
      </c>
      <c r="M1090">
        <v>1</v>
      </c>
      <c r="N1090">
        <v>5</v>
      </c>
      <c r="O1090">
        <v>6</v>
      </c>
      <c r="P1090">
        <v>0</v>
      </c>
    </row>
    <row r="1091" spans="1:16" x14ac:dyDescent="0.25">
      <c r="A1091">
        <v>13</v>
      </c>
      <c r="B1091" t="s">
        <v>14</v>
      </c>
      <c r="C1091">
        <v>2.9</v>
      </c>
      <c r="D1091" t="str">
        <f t="shared" si="51"/>
        <v>Medium</v>
      </c>
      <c r="E1091" t="s">
        <v>18</v>
      </c>
      <c r="F1091" s="1">
        <v>8.1999999999999993</v>
      </c>
      <c r="G1091" t="str">
        <f t="shared" si="52"/>
        <v>Normal</v>
      </c>
      <c r="H1091">
        <v>2.2999999999999998</v>
      </c>
      <c r="I1091">
        <v>2.48</v>
      </c>
      <c r="J1091" s="1">
        <v>0.9</v>
      </c>
      <c r="K1091" t="str">
        <f t="shared" si="53"/>
        <v>0-1 hours</v>
      </c>
      <c r="L1091" t="s">
        <v>13</v>
      </c>
      <c r="M1091">
        <v>5</v>
      </c>
      <c r="N1091">
        <v>8</v>
      </c>
      <c r="O1091">
        <v>9</v>
      </c>
      <c r="P1091">
        <v>0</v>
      </c>
    </row>
    <row r="1092" spans="1:16" x14ac:dyDescent="0.25">
      <c r="A1092">
        <v>16</v>
      </c>
      <c r="B1092" t="s">
        <v>14</v>
      </c>
      <c r="C1092">
        <v>7.9</v>
      </c>
      <c r="D1092" t="str">
        <f t="shared" si="51"/>
        <v>High</v>
      </c>
      <c r="E1092" t="s">
        <v>12</v>
      </c>
      <c r="F1092" s="1">
        <v>6.3</v>
      </c>
      <c r="G1092" t="str">
        <f t="shared" si="52"/>
        <v>Low</v>
      </c>
      <c r="H1092">
        <v>2.7</v>
      </c>
      <c r="I1092">
        <v>2.88</v>
      </c>
      <c r="J1092" s="1">
        <v>0.2</v>
      </c>
      <c r="K1092" t="str">
        <f t="shared" si="53"/>
        <v>0-1 hours</v>
      </c>
      <c r="L1092" t="s">
        <v>16</v>
      </c>
      <c r="M1092">
        <v>2</v>
      </c>
      <c r="N1092">
        <v>7</v>
      </c>
      <c r="O1092">
        <v>5</v>
      </c>
      <c r="P1092">
        <v>0</v>
      </c>
    </row>
    <row r="1093" spans="1:16" x14ac:dyDescent="0.25">
      <c r="A1093">
        <v>13</v>
      </c>
      <c r="B1093" t="s">
        <v>11</v>
      </c>
      <c r="C1093">
        <v>3.5</v>
      </c>
      <c r="D1093" t="str">
        <f t="shared" si="51"/>
        <v>Medium</v>
      </c>
      <c r="E1093" t="s">
        <v>18</v>
      </c>
      <c r="F1093" s="1">
        <v>6.8</v>
      </c>
      <c r="G1093" t="str">
        <f t="shared" si="52"/>
        <v>Low</v>
      </c>
      <c r="H1093">
        <v>2.2999999999999998</v>
      </c>
      <c r="I1093">
        <v>2.2799999999999998</v>
      </c>
      <c r="J1093" s="1">
        <v>1</v>
      </c>
      <c r="K1093" t="str">
        <f t="shared" si="53"/>
        <v>0-1 hours</v>
      </c>
      <c r="L1093" t="s">
        <v>13</v>
      </c>
      <c r="M1093">
        <v>7</v>
      </c>
      <c r="N1093">
        <v>2</v>
      </c>
      <c r="O1093">
        <v>6</v>
      </c>
      <c r="P1093">
        <v>0</v>
      </c>
    </row>
    <row r="1094" spans="1:16" x14ac:dyDescent="0.25">
      <c r="A1094">
        <v>14</v>
      </c>
      <c r="B1094" t="s">
        <v>14</v>
      </c>
      <c r="C1094">
        <v>3.8</v>
      </c>
      <c r="D1094" t="str">
        <f t="shared" si="51"/>
        <v>Medium</v>
      </c>
      <c r="E1094" t="s">
        <v>12</v>
      </c>
      <c r="F1094" s="1">
        <v>7.9</v>
      </c>
      <c r="G1094" t="str">
        <f t="shared" si="52"/>
        <v>Low</v>
      </c>
      <c r="H1094">
        <v>1.2</v>
      </c>
      <c r="I1094">
        <v>3.24</v>
      </c>
      <c r="J1094" s="1">
        <v>1.6</v>
      </c>
      <c r="K1094" t="str">
        <f t="shared" si="53"/>
        <v>1-2 hours</v>
      </c>
      <c r="L1094" t="s">
        <v>16</v>
      </c>
      <c r="M1094">
        <v>6</v>
      </c>
      <c r="N1094">
        <v>10</v>
      </c>
      <c r="O1094">
        <v>5</v>
      </c>
      <c r="P1094">
        <v>0</v>
      </c>
    </row>
    <row r="1095" spans="1:16" x14ac:dyDescent="0.25">
      <c r="A1095">
        <v>19</v>
      </c>
      <c r="B1095" t="s">
        <v>11</v>
      </c>
      <c r="C1095">
        <v>2.9</v>
      </c>
      <c r="D1095" t="str">
        <f t="shared" si="51"/>
        <v>Medium</v>
      </c>
      <c r="E1095" t="s">
        <v>12</v>
      </c>
      <c r="F1095" s="1">
        <v>8.6999999999999993</v>
      </c>
      <c r="G1095" t="str">
        <f t="shared" si="52"/>
        <v>Normal</v>
      </c>
      <c r="H1095">
        <v>0.9</v>
      </c>
      <c r="I1095">
        <v>2.99</v>
      </c>
      <c r="J1095" s="1">
        <v>0.8</v>
      </c>
      <c r="K1095" t="str">
        <f t="shared" si="53"/>
        <v>0-1 hours</v>
      </c>
      <c r="L1095" t="s">
        <v>17</v>
      </c>
      <c r="M1095">
        <v>7</v>
      </c>
      <c r="N1095">
        <v>8</v>
      </c>
      <c r="O1095">
        <v>2</v>
      </c>
      <c r="P1095">
        <v>0</v>
      </c>
    </row>
    <row r="1096" spans="1:16" x14ac:dyDescent="0.25">
      <c r="A1096">
        <v>17</v>
      </c>
      <c r="B1096" t="s">
        <v>11</v>
      </c>
      <c r="C1096">
        <v>3.5</v>
      </c>
      <c r="D1096" t="str">
        <f t="shared" si="51"/>
        <v>Medium</v>
      </c>
      <c r="E1096" t="s">
        <v>18</v>
      </c>
      <c r="F1096" s="1">
        <v>4.5999999999999996</v>
      </c>
      <c r="G1096" t="str">
        <f t="shared" si="52"/>
        <v>Low</v>
      </c>
      <c r="H1096">
        <v>0.7</v>
      </c>
      <c r="I1096">
        <v>3.9</v>
      </c>
      <c r="J1096" s="1">
        <v>0.6</v>
      </c>
      <c r="K1096" t="str">
        <f t="shared" si="53"/>
        <v>0-1 hours</v>
      </c>
      <c r="L1096" t="s">
        <v>16</v>
      </c>
      <c r="M1096">
        <v>7</v>
      </c>
      <c r="N1096">
        <v>3</v>
      </c>
      <c r="O1096">
        <v>1</v>
      </c>
      <c r="P1096">
        <v>0</v>
      </c>
    </row>
    <row r="1097" spans="1:16" x14ac:dyDescent="0.25">
      <c r="A1097">
        <v>16</v>
      </c>
      <c r="B1097" t="s">
        <v>11</v>
      </c>
      <c r="C1097">
        <v>4.8</v>
      </c>
      <c r="D1097" t="str">
        <f t="shared" si="51"/>
        <v>Medium</v>
      </c>
      <c r="E1097" t="s">
        <v>12</v>
      </c>
      <c r="F1097" s="1">
        <v>8.6</v>
      </c>
      <c r="G1097" t="str">
        <f t="shared" si="52"/>
        <v>Normal</v>
      </c>
      <c r="H1097">
        <v>1.8</v>
      </c>
      <c r="I1097">
        <v>2.44</v>
      </c>
      <c r="J1097" s="1">
        <v>1.7</v>
      </c>
      <c r="K1097" t="str">
        <f t="shared" si="53"/>
        <v>1-2 hours</v>
      </c>
      <c r="L1097" t="s">
        <v>16</v>
      </c>
      <c r="M1097">
        <v>8</v>
      </c>
      <c r="N1097">
        <v>7</v>
      </c>
      <c r="O1097">
        <v>3</v>
      </c>
      <c r="P1097">
        <v>0</v>
      </c>
    </row>
    <row r="1098" spans="1:16" x14ac:dyDescent="0.25">
      <c r="A1098">
        <v>13</v>
      </c>
      <c r="B1098" t="s">
        <v>11</v>
      </c>
      <c r="C1098">
        <v>5.8</v>
      </c>
      <c r="D1098" t="str">
        <f t="shared" si="51"/>
        <v>Medium</v>
      </c>
      <c r="E1098" t="s">
        <v>15</v>
      </c>
      <c r="F1098" s="1">
        <v>7.2</v>
      </c>
      <c r="G1098" t="str">
        <f t="shared" si="52"/>
        <v>Low</v>
      </c>
      <c r="H1098">
        <v>1.1000000000000001</v>
      </c>
      <c r="I1098">
        <v>2.69</v>
      </c>
      <c r="J1098" s="1">
        <v>0.4</v>
      </c>
      <c r="K1098" t="str">
        <f t="shared" si="53"/>
        <v>0-1 hours</v>
      </c>
      <c r="L1098" t="s">
        <v>13</v>
      </c>
      <c r="M1098">
        <v>7</v>
      </c>
      <c r="N1098">
        <v>3</v>
      </c>
      <c r="O1098">
        <v>7</v>
      </c>
      <c r="P1098">
        <v>0</v>
      </c>
    </row>
    <row r="1099" spans="1:16" x14ac:dyDescent="0.25">
      <c r="A1099">
        <v>16</v>
      </c>
      <c r="B1099" t="s">
        <v>14</v>
      </c>
      <c r="C1099">
        <v>6.1</v>
      </c>
      <c r="D1099" t="str">
        <f t="shared" si="51"/>
        <v>Medium</v>
      </c>
      <c r="E1099" t="s">
        <v>18</v>
      </c>
      <c r="F1099" s="1">
        <v>7.5</v>
      </c>
      <c r="G1099" t="str">
        <f t="shared" si="52"/>
        <v>Low</v>
      </c>
      <c r="H1099">
        <v>2.5</v>
      </c>
      <c r="I1099">
        <v>3.14</v>
      </c>
      <c r="J1099" s="1">
        <v>0.5</v>
      </c>
      <c r="K1099" t="str">
        <f t="shared" si="53"/>
        <v>0-1 hours</v>
      </c>
      <c r="L1099" t="s">
        <v>13</v>
      </c>
      <c r="M1099">
        <v>9</v>
      </c>
      <c r="N1099">
        <v>6</v>
      </c>
      <c r="O1099">
        <v>10</v>
      </c>
      <c r="P1099">
        <v>0</v>
      </c>
    </row>
    <row r="1100" spans="1:16" x14ac:dyDescent="0.25">
      <c r="A1100">
        <v>14</v>
      </c>
      <c r="B1100" t="s">
        <v>14</v>
      </c>
      <c r="C1100">
        <v>4.3</v>
      </c>
      <c r="D1100" t="str">
        <f t="shared" si="51"/>
        <v>Medium</v>
      </c>
      <c r="E1100" t="s">
        <v>18</v>
      </c>
      <c r="F1100" s="1">
        <v>7.8</v>
      </c>
      <c r="G1100" t="str">
        <f t="shared" si="52"/>
        <v>Low</v>
      </c>
      <c r="H1100">
        <v>0.5</v>
      </c>
      <c r="I1100">
        <v>3.92</v>
      </c>
      <c r="J1100" s="1">
        <v>0.7</v>
      </c>
      <c r="K1100" t="str">
        <f t="shared" si="53"/>
        <v>0-1 hours</v>
      </c>
      <c r="L1100" t="s">
        <v>16</v>
      </c>
      <c r="M1100">
        <v>3</v>
      </c>
      <c r="N1100">
        <v>4</v>
      </c>
      <c r="O1100">
        <v>8</v>
      </c>
      <c r="P1100">
        <v>0</v>
      </c>
    </row>
    <row r="1101" spans="1:16" x14ac:dyDescent="0.25">
      <c r="A1101">
        <v>15</v>
      </c>
      <c r="B1101" t="s">
        <v>14</v>
      </c>
      <c r="C1101">
        <v>7.8</v>
      </c>
      <c r="D1101" t="str">
        <f t="shared" si="51"/>
        <v>High</v>
      </c>
      <c r="E1101" t="s">
        <v>12</v>
      </c>
      <c r="F1101" s="1">
        <v>4.5999999999999996</v>
      </c>
      <c r="G1101" t="str">
        <f t="shared" si="52"/>
        <v>Low</v>
      </c>
      <c r="H1101">
        <v>3</v>
      </c>
      <c r="I1101">
        <v>2.44</v>
      </c>
      <c r="J1101" s="1">
        <v>1.4</v>
      </c>
      <c r="K1101" t="str">
        <f t="shared" si="53"/>
        <v>1-2 hours</v>
      </c>
      <c r="L1101" t="s">
        <v>17</v>
      </c>
      <c r="M1101">
        <v>8</v>
      </c>
      <c r="N1101">
        <v>10</v>
      </c>
      <c r="O1101">
        <v>6</v>
      </c>
      <c r="P1101">
        <v>1</v>
      </c>
    </row>
    <row r="1102" spans="1:16" x14ac:dyDescent="0.25">
      <c r="A1102">
        <v>15</v>
      </c>
      <c r="B1102" t="s">
        <v>14</v>
      </c>
      <c r="C1102">
        <v>5.2</v>
      </c>
      <c r="D1102" t="str">
        <f t="shared" si="51"/>
        <v>Medium</v>
      </c>
      <c r="E1102" t="s">
        <v>15</v>
      </c>
      <c r="F1102" s="1">
        <v>7.5</v>
      </c>
      <c r="G1102" t="str">
        <f t="shared" si="52"/>
        <v>Low</v>
      </c>
      <c r="H1102">
        <v>1.1000000000000001</v>
      </c>
      <c r="I1102">
        <v>3.61</v>
      </c>
      <c r="J1102" s="1">
        <v>0.1</v>
      </c>
      <c r="K1102" t="str">
        <f t="shared" si="53"/>
        <v>0-1 hours</v>
      </c>
      <c r="L1102" t="s">
        <v>13</v>
      </c>
      <c r="M1102">
        <v>4</v>
      </c>
      <c r="N1102">
        <v>6</v>
      </c>
      <c r="O1102">
        <v>7</v>
      </c>
      <c r="P1102">
        <v>0</v>
      </c>
    </row>
    <row r="1103" spans="1:16" x14ac:dyDescent="0.25">
      <c r="A1103">
        <v>17</v>
      </c>
      <c r="B1103" t="s">
        <v>11</v>
      </c>
      <c r="C1103">
        <v>3.5</v>
      </c>
      <c r="D1103" t="str">
        <f t="shared" si="51"/>
        <v>Medium</v>
      </c>
      <c r="E1103" t="s">
        <v>12</v>
      </c>
      <c r="F1103" s="1">
        <v>4.3</v>
      </c>
      <c r="G1103" t="str">
        <f t="shared" si="52"/>
        <v>Low</v>
      </c>
      <c r="H1103">
        <v>2.2000000000000002</v>
      </c>
      <c r="I1103">
        <v>3.19</v>
      </c>
      <c r="J1103" s="1">
        <v>1</v>
      </c>
      <c r="K1103" t="str">
        <f t="shared" si="53"/>
        <v>0-1 hours</v>
      </c>
      <c r="L1103" t="s">
        <v>16</v>
      </c>
      <c r="M1103">
        <v>4</v>
      </c>
      <c r="N1103">
        <v>5</v>
      </c>
      <c r="O1103">
        <v>9</v>
      </c>
      <c r="P1103">
        <v>0</v>
      </c>
    </row>
    <row r="1104" spans="1:16" x14ac:dyDescent="0.25">
      <c r="A1104">
        <v>16</v>
      </c>
      <c r="B1104" t="s">
        <v>14</v>
      </c>
      <c r="C1104">
        <v>6.5</v>
      </c>
      <c r="D1104" t="str">
        <f t="shared" si="51"/>
        <v>Medium</v>
      </c>
      <c r="E1104" t="s">
        <v>15</v>
      </c>
      <c r="F1104" s="1">
        <v>4.5999999999999996</v>
      </c>
      <c r="G1104" t="str">
        <f t="shared" si="52"/>
        <v>Low</v>
      </c>
      <c r="H1104">
        <v>1.8</v>
      </c>
      <c r="I1104">
        <v>2.2000000000000002</v>
      </c>
      <c r="J1104" s="1">
        <v>1.2</v>
      </c>
      <c r="K1104" t="str">
        <f t="shared" si="53"/>
        <v>1-2 hours</v>
      </c>
      <c r="L1104" t="s">
        <v>13</v>
      </c>
      <c r="M1104">
        <v>7</v>
      </c>
      <c r="N1104">
        <v>4</v>
      </c>
      <c r="O1104">
        <v>4</v>
      </c>
      <c r="P1104">
        <v>0</v>
      </c>
    </row>
    <row r="1105" spans="1:16" x14ac:dyDescent="0.25">
      <c r="A1105">
        <v>17</v>
      </c>
      <c r="B1105" t="s">
        <v>11</v>
      </c>
      <c r="C1105">
        <v>4.7</v>
      </c>
      <c r="D1105" t="str">
        <f t="shared" si="51"/>
        <v>Medium</v>
      </c>
      <c r="E1105" t="s">
        <v>15</v>
      </c>
      <c r="F1105" s="1">
        <v>7.2</v>
      </c>
      <c r="G1105" t="str">
        <f t="shared" si="52"/>
        <v>Low</v>
      </c>
      <c r="H1105">
        <v>2.7</v>
      </c>
      <c r="I1105">
        <v>2.06</v>
      </c>
      <c r="J1105" s="1">
        <v>1.4</v>
      </c>
      <c r="K1105" t="str">
        <f t="shared" si="53"/>
        <v>1-2 hours</v>
      </c>
      <c r="L1105" t="s">
        <v>13</v>
      </c>
      <c r="M1105">
        <v>3</v>
      </c>
      <c r="N1105">
        <v>1</v>
      </c>
      <c r="O1105">
        <v>4</v>
      </c>
      <c r="P1105">
        <v>0</v>
      </c>
    </row>
    <row r="1106" spans="1:16" x14ac:dyDescent="0.25">
      <c r="A1106">
        <v>13</v>
      </c>
      <c r="B1106" t="s">
        <v>11</v>
      </c>
      <c r="C1106">
        <v>2.5</v>
      </c>
      <c r="D1106" t="str">
        <f t="shared" si="51"/>
        <v>Medium</v>
      </c>
      <c r="E1106" t="s">
        <v>12</v>
      </c>
      <c r="F1106" s="1">
        <v>6.3</v>
      </c>
      <c r="G1106" t="str">
        <f t="shared" si="52"/>
        <v>Low</v>
      </c>
      <c r="H1106">
        <v>1.8</v>
      </c>
      <c r="I1106">
        <v>2.2000000000000002</v>
      </c>
      <c r="J1106" s="1">
        <v>0.1</v>
      </c>
      <c r="K1106" t="str">
        <f t="shared" si="53"/>
        <v>0-1 hours</v>
      </c>
      <c r="L1106" t="s">
        <v>16</v>
      </c>
      <c r="M1106">
        <v>9</v>
      </c>
      <c r="N1106">
        <v>3</v>
      </c>
      <c r="O1106">
        <v>9</v>
      </c>
      <c r="P1106">
        <v>0</v>
      </c>
    </row>
    <row r="1107" spans="1:16" x14ac:dyDescent="0.25">
      <c r="A1107">
        <v>19</v>
      </c>
      <c r="B1107" t="s">
        <v>14</v>
      </c>
      <c r="C1107">
        <v>5.5</v>
      </c>
      <c r="D1107" t="str">
        <f t="shared" si="51"/>
        <v>Medium</v>
      </c>
      <c r="E1107" t="s">
        <v>15</v>
      </c>
      <c r="F1107" s="1">
        <v>7.4</v>
      </c>
      <c r="G1107" t="str">
        <f t="shared" si="52"/>
        <v>Low</v>
      </c>
      <c r="H1107">
        <v>2</v>
      </c>
      <c r="I1107">
        <v>2.8</v>
      </c>
      <c r="J1107" s="1">
        <v>1.8</v>
      </c>
      <c r="K1107" t="str">
        <f t="shared" si="53"/>
        <v>1-2 hours</v>
      </c>
      <c r="L1107" t="s">
        <v>16</v>
      </c>
      <c r="M1107">
        <v>9</v>
      </c>
      <c r="N1107">
        <v>8</v>
      </c>
      <c r="O1107">
        <v>10</v>
      </c>
      <c r="P1107">
        <v>0</v>
      </c>
    </row>
    <row r="1108" spans="1:16" x14ac:dyDescent="0.25">
      <c r="A1108">
        <v>15</v>
      </c>
      <c r="B1108" t="s">
        <v>14</v>
      </c>
      <c r="C1108">
        <v>3.5</v>
      </c>
      <c r="D1108" t="str">
        <f t="shared" si="51"/>
        <v>Medium</v>
      </c>
      <c r="E1108" t="s">
        <v>12</v>
      </c>
      <c r="F1108" s="1">
        <v>8</v>
      </c>
      <c r="G1108" t="str">
        <f t="shared" si="52"/>
        <v>Normal</v>
      </c>
      <c r="H1108">
        <v>1.9</v>
      </c>
      <c r="I1108">
        <v>3.45</v>
      </c>
      <c r="J1108" s="1">
        <v>1.5</v>
      </c>
      <c r="K1108" t="str">
        <f t="shared" si="53"/>
        <v>1-2 hours</v>
      </c>
      <c r="L1108" t="s">
        <v>16</v>
      </c>
      <c r="M1108">
        <v>10</v>
      </c>
      <c r="N1108">
        <v>4</v>
      </c>
      <c r="O1108">
        <v>1</v>
      </c>
      <c r="P1108">
        <v>0</v>
      </c>
    </row>
    <row r="1109" spans="1:16" x14ac:dyDescent="0.25">
      <c r="A1109">
        <v>14</v>
      </c>
      <c r="B1109" t="s">
        <v>14</v>
      </c>
      <c r="C1109">
        <v>4.5999999999999996</v>
      </c>
      <c r="D1109" t="str">
        <f t="shared" si="51"/>
        <v>Medium</v>
      </c>
      <c r="E1109" t="s">
        <v>15</v>
      </c>
      <c r="F1109" s="1">
        <v>7</v>
      </c>
      <c r="G1109" t="str">
        <f t="shared" si="52"/>
        <v>Low</v>
      </c>
      <c r="H1109">
        <v>1.6</v>
      </c>
      <c r="I1109">
        <v>2.74</v>
      </c>
      <c r="J1109" s="1">
        <v>0.9</v>
      </c>
      <c r="K1109" t="str">
        <f t="shared" si="53"/>
        <v>0-1 hours</v>
      </c>
      <c r="L1109" t="s">
        <v>13</v>
      </c>
      <c r="M1109">
        <v>3</v>
      </c>
      <c r="N1109">
        <v>2</v>
      </c>
      <c r="O1109">
        <v>9</v>
      </c>
      <c r="P1109">
        <v>0</v>
      </c>
    </row>
    <row r="1110" spans="1:16" x14ac:dyDescent="0.25">
      <c r="A1110">
        <v>13</v>
      </c>
      <c r="B1110" t="s">
        <v>14</v>
      </c>
      <c r="C1110">
        <v>3.5</v>
      </c>
      <c r="D1110" t="str">
        <f t="shared" si="51"/>
        <v>Medium</v>
      </c>
      <c r="E1110" t="s">
        <v>12</v>
      </c>
      <c r="F1110" s="1">
        <v>6.9</v>
      </c>
      <c r="G1110" t="str">
        <f t="shared" si="52"/>
        <v>Low</v>
      </c>
      <c r="H1110">
        <v>1.6</v>
      </c>
      <c r="I1110">
        <v>2.08</v>
      </c>
      <c r="J1110" s="1">
        <v>0.7</v>
      </c>
      <c r="K1110" t="str">
        <f t="shared" si="53"/>
        <v>0-1 hours</v>
      </c>
      <c r="L1110" t="s">
        <v>13</v>
      </c>
      <c r="M1110">
        <v>9</v>
      </c>
      <c r="N1110">
        <v>9</v>
      </c>
      <c r="O1110">
        <v>9</v>
      </c>
      <c r="P1110">
        <v>0</v>
      </c>
    </row>
    <row r="1111" spans="1:16" x14ac:dyDescent="0.25">
      <c r="A1111">
        <v>19</v>
      </c>
      <c r="B1111" t="s">
        <v>11</v>
      </c>
      <c r="C1111">
        <v>1.6</v>
      </c>
      <c r="D1111" t="str">
        <f t="shared" si="51"/>
        <v>Low</v>
      </c>
      <c r="E1111" t="s">
        <v>15</v>
      </c>
      <c r="F1111" s="1">
        <v>8.6</v>
      </c>
      <c r="G1111" t="str">
        <f t="shared" si="52"/>
        <v>Normal</v>
      </c>
      <c r="H1111">
        <v>1.4</v>
      </c>
      <c r="I1111">
        <v>2.69</v>
      </c>
      <c r="J1111" s="1">
        <v>1.6</v>
      </c>
      <c r="K1111" t="str">
        <f t="shared" si="53"/>
        <v>1-2 hours</v>
      </c>
      <c r="L1111" t="s">
        <v>17</v>
      </c>
      <c r="M1111">
        <v>4</v>
      </c>
      <c r="N1111">
        <v>3</v>
      </c>
      <c r="O1111">
        <v>4</v>
      </c>
      <c r="P1111">
        <v>0</v>
      </c>
    </row>
    <row r="1112" spans="1:16" x14ac:dyDescent="0.25">
      <c r="A1112">
        <v>13</v>
      </c>
      <c r="B1112" t="s">
        <v>14</v>
      </c>
      <c r="C1112">
        <v>3.2</v>
      </c>
      <c r="D1112" t="str">
        <f t="shared" si="51"/>
        <v>Medium</v>
      </c>
      <c r="E1112" t="s">
        <v>18</v>
      </c>
      <c r="F1112" s="1">
        <v>5.9</v>
      </c>
      <c r="G1112" t="str">
        <f t="shared" si="52"/>
        <v>Low</v>
      </c>
      <c r="H1112">
        <v>0.7</v>
      </c>
      <c r="I1112">
        <v>3.98</v>
      </c>
      <c r="J1112" s="1">
        <v>0.8</v>
      </c>
      <c r="K1112" t="str">
        <f t="shared" si="53"/>
        <v>0-1 hours</v>
      </c>
      <c r="L1112" t="s">
        <v>13</v>
      </c>
      <c r="M1112">
        <v>6</v>
      </c>
      <c r="N1112">
        <v>8</v>
      </c>
      <c r="O1112">
        <v>1</v>
      </c>
      <c r="P1112">
        <v>0</v>
      </c>
    </row>
    <row r="1113" spans="1:16" x14ac:dyDescent="0.25">
      <c r="A1113">
        <v>19</v>
      </c>
      <c r="B1113" t="s">
        <v>14</v>
      </c>
      <c r="C1113">
        <v>1.7</v>
      </c>
      <c r="D1113" t="str">
        <f t="shared" si="51"/>
        <v>Low</v>
      </c>
      <c r="E1113" t="s">
        <v>18</v>
      </c>
      <c r="F1113" s="1">
        <v>7</v>
      </c>
      <c r="G1113" t="str">
        <f t="shared" si="52"/>
        <v>Low</v>
      </c>
      <c r="H1113">
        <v>2.7</v>
      </c>
      <c r="I1113">
        <v>2.0699999999999998</v>
      </c>
      <c r="J1113" s="1">
        <v>0.5</v>
      </c>
      <c r="K1113" t="str">
        <f t="shared" si="53"/>
        <v>0-1 hours</v>
      </c>
      <c r="L1113" t="s">
        <v>16</v>
      </c>
      <c r="M1113">
        <v>6</v>
      </c>
      <c r="N1113">
        <v>4</v>
      </c>
      <c r="O1113">
        <v>10</v>
      </c>
      <c r="P1113">
        <v>0</v>
      </c>
    </row>
    <row r="1114" spans="1:16" x14ac:dyDescent="0.25">
      <c r="A1114">
        <v>14</v>
      </c>
      <c r="B1114" t="s">
        <v>11</v>
      </c>
      <c r="C1114">
        <v>6.4</v>
      </c>
      <c r="D1114" t="str">
        <f t="shared" si="51"/>
        <v>Medium</v>
      </c>
      <c r="E1114" t="s">
        <v>12</v>
      </c>
      <c r="F1114" s="1">
        <v>4.3</v>
      </c>
      <c r="G1114" t="str">
        <f t="shared" si="52"/>
        <v>Low</v>
      </c>
      <c r="H1114">
        <v>2.2999999999999998</v>
      </c>
      <c r="I1114">
        <v>3.99</v>
      </c>
      <c r="J1114" s="1">
        <v>1.1000000000000001</v>
      </c>
      <c r="K1114" t="str">
        <f t="shared" si="53"/>
        <v>1-2 hours</v>
      </c>
      <c r="L1114" t="s">
        <v>13</v>
      </c>
      <c r="M1114">
        <v>7</v>
      </c>
      <c r="N1114">
        <v>4</v>
      </c>
      <c r="O1114">
        <v>3</v>
      </c>
      <c r="P1114">
        <v>0</v>
      </c>
    </row>
    <row r="1115" spans="1:16" x14ac:dyDescent="0.25">
      <c r="A1115">
        <v>13</v>
      </c>
      <c r="B1115" t="s">
        <v>14</v>
      </c>
      <c r="C1115">
        <v>3.3</v>
      </c>
      <c r="D1115" t="str">
        <f t="shared" si="51"/>
        <v>Medium</v>
      </c>
      <c r="E1115" t="s">
        <v>15</v>
      </c>
      <c r="F1115" s="1">
        <v>6.4</v>
      </c>
      <c r="G1115" t="str">
        <f t="shared" si="52"/>
        <v>Low</v>
      </c>
      <c r="H1115">
        <v>1</v>
      </c>
      <c r="I1115">
        <v>2.4900000000000002</v>
      </c>
      <c r="J1115" s="1">
        <v>1</v>
      </c>
      <c r="K1115" t="str">
        <f t="shared" si="53"/>
        <v>0-1 hours</v>
      </c>
      <c r="L1115" t="s">
        <v>13</v>
      </c>
      <c r="M1115">
        <v>9</v>
      </c>
      <c r="N1115">
        <v>2</v>
      </c>
      <c r="O1115">
        <v>4</v>
      </c>
      <c r="P1115">
        <v>0</v>
      </c>
    </row>
    <row r="1116" spans="1:16" x14ac:dyDescent="0.25">
      <c r="A1116">
        <v>18</v>
      </c>
      <c r="B1116" t="s">
        <v>11</v>
      </c>
      <c r="C1116">
        <v>1.2</v>
      </c>
      <c r="D1116" t="str">
        <f t="shared" si="51"/>
        <v>Low</v>
      </c>
      <c r="E1116" t="s">
        <v>18</v>
      </c>
      <c r="F1116" s="1">
        <v>6.8</v>
      </c>
      <c r="G1116" t="str">
        <f t="shared" si="52"/>
        <v>Low</v>
      </c>
      <c r="H1116">
        <v>2.6</v>
      </c>
      <c r="I1116">
        <v>2.85</v>
      </c>
      <c r="J1116" s="1">
        <v>1.8</v>
      </c>
      <c r="K1116" t="str">
        <f t="shared" si="53"/>
        <v>1-2 hours</v>
      </c>
      <c r="L1116" t="s">
        <v>17</v>
      </c>
      <c r="M1116">
        <v>4</v>
      </c>
      <c r="N1116">
        <v>3</v>
      </c>
      <c r="O1116">
        <v>9</v>
      </c>
      <c r="P1116">
        <v>0</v>
      </c>
    </row>
    <row r="1117" spans="1:16" x14ac:dyDescent="0.25">
      <c r="A1117">
        <v>13</v>
      </c>
      <c r="B1117" t="s">
        <v>14</v>
      </c>
      <c r="C1117">
        <v>2.5</v>
      </c>
      <c r="D1117" t="str">
        <f t="shared" si="51"/>
        <v>Medium</v>
      </c>
      <c r="E1117" t="s">
        <v>18</v>
      </c>
      <c r="F1117" s="1">
        <v>7.8</v>
      </c>
      <c r="G1117" t="str">
        <f t="shared" si="52"/>
        <v>Low</v>
      </c>
      <c r="H1117">
        <v>1.4</v>
      </c>
      <c r="I1117">
        <v>3.43</v>
      </c>
      <c r="J1117" s="1">
        <v>0.9</v>
      </c>
      <c r="K1117" t="str">
        <f t="shared" si="53"/>
        <v>0-1 hours</v>
      </c>
      <c r="L1117" t="s">
        <v>17</v>
      </c>
      <c r="M1117">
        <v>1</v>
      </c>
      <c r="N1117">
        <v>4</v>
      </c>
      <c r="O1117">
        <v>6</v>
      </c>
      <c r="P1117">
        <v>0</v>
      </c>
    </row>
    <row r="1118" spans="1:16" x14ac:dyDescent="0.25">
      <c r="A1118">
        <v>16</v>
      </c>
      <c r="B1118" t="s">
        <v>11</v>
      </c>
      <c r="C1118">
        <v>2.2000000000000002</v>
      </c>
      <c r="D1118" t="str">
        <f t="shared" si="51"/>
        <v>Medium</v>
      </c>
      <c r="E1118" t="s">
        <v>15</v>
      </c>
      <c r="F1118" s="1">
        <v>5.0999999999999996</v>
      </c>
      <c r="G1118" t="str">
        <f t="shared" si="52"/>
        <v>Low</v>
      </c>
      <c r="H1118">
        <v>2.2999999999999998</v>
      </c>
      <c r="I1118">
        <v>3.6</v>
      </c>
      <c r="J1118" s="1">
        <v>1</v>
      </c>
      <c r="K1118" t="str">
        <f t="shared" si="53"/>
        <v>0-1 hours</v>
      </c>
      <c r="L1118" t="s">
        <v>16</v>
      </c>
      <c r="M1118">
        <v>4</v>
      </c>
      <c r="N1118">
        <v>7</v>
      </c>
      <c r="O1118">
        <v>6</v>
      </c>
      <c r="P1118">
        <v>0</v>
      </c>
    </row>
    <row r="1119" spans="1:16" x14ac:dyDescent="0.25">
      <c r="A1119">
        <v>18</v>
      </c>
      <c r="B1119" t="s">
        <v>14</v>
      </c>
      <c r="C1119">
        <v>5.2</v>
      </c>
      <c r="D1119" t="str">
        <f t="shared" si="51"/>
        <v>Medium</v>
      </c>
      <c r="E1119" t="s">
        <v>18</v>
      </c>
      <c r="F1119" s="1">
        <v>7.1</v>
      </c>
      <c r="G1119" t="str">
        <f t="shared" si="52"/>
        <v>Low</v>
      </c>
      <c r="H1119">
        <v>1.9</v>
      </c>
      <c r="I1119">
        <v>2.87</v>
      </c>
      <c r="J1119" s="1">
        <v>1.7</v>
      </c>
      <c r="K1119" t="str">
        <f t="shared" si="53"/>
        <v>1-2 hours</v>
      </c>
      <c r="L1119" t="s">
        <v>17</v>
      </c>
      <c r="M1119">
        <v>5</v>
      </c>
      <c r="N1119">
        <v>8</v>
      </c>
      <c r="O1119">
        <v>6</v>
      </c>
      <c r="P1119">
        <v>0</v>
      </c>
    </row>
    <row r="1120" spans="1:16" x14ac:dyDescent="0.25">
      <c r="A1120">
        <v>16</v>
      </c>
      <c r="B1120" t="s">
        <v>11</v>
      </c>
      <c r="C1120">
        <v>7.9</v>
      </c>
      <c r="D1120" t="str">
        <f t="shared" si="51"/>
        <v>High</v>
      </c>
      <c r="E1120" t="s">
        <v>12</v>
      </c>
      <c r="F1120" s="1">
        <v>8.6999999999999993</v>
      </c>
      <c r="G1120" t="str">
        <f t="shared" si="52"/>
        <v>Normal</v>
      </c>
      <c r="H1120">
        <v>2.5</v>
      </c>
      <c r="I1120">
        <v>2.29</v>
      </c>
      <c r="J1120" s="1">
        <v>0.7</v>
      </c>
      <c r="K1120" t="str">
        <f t="shared" si="53"/>
        <v>0-1 hours</v>
      </c>
      <c r="L1120" t="s">
        <v>16</v>
      </c>
      <c r="M1120">
        <v>7</v>
      </c>
      <c r="N1120">
        <v>7</v>
      </c>
      <c r="O1120">
        <v>4</v>
      </c>
      <c r="P1120">
        <v>0</v>
      </c>
    </row>
    <row r="1121" spans="1:16" x14ac:dyDescent="0.25">
      <c r="A1121">
        <v>18</v>
      </c>
      <c r="B1121" t="s">
        <v>11</v>
      </c>
      <c r="C1121">
        <v>5.6</v>
      </c>
      <c r="D1121" t="str">
        <f t="shared" si="51"/>
        <v>Medium</v>
      </c>
      <c r="E1121" t="s">
        <v>18</v>
      </c>
      <c r="F1121" s="1">
        <v>8</v>
      </c>
      <c r="G1121" t="str">
        <f t="shared" si="52"/>
        <v>Normal</v>
      </c>
      <c r="H1121">
        <v>2.4</v>
      </c>
      <c r="I1121">
        <v>2.95</v>
      </c>
      <c r="J1121" s="1">
        <v>0</v>
      </c>
      <c r="K1121" t="str">
        <f t="shared" si="53"/>
        <v>No activity</v>
      </c>
      <c r="L1121" t="s">
        <v>13</v>
      </c>
      <c r="M1121">
        <v>2</v>
      </c>
      <c r="N1121">
        <v>10</v>
      </c>
      <c r="O1121">
        <v>3</v>
      </c>
      <c r="P1121">
        <v>0</v>
      </c>
    </row>
    <row r="1122" spans="1:16" x14ac:dyDescent="0.25">
      <c r="A1122">
        <v>16</v>
      </c>
      <c r="B1122" t="s">
        <v>11</v>
      </c>
      <c r="C1122">
        <v>3.9</v>
      </c>
      <c r="D1122" t="str">
        <f t="shared" si="51"/>
        <v>Medium</v>
      </c>
      <c r="E1122" t="s">
        <v>15</v>
      </c>
      <c r="F1122" s="1">
        <v>4.2</v>
      </c>
      <c r="G1122" t="str">
        <f t="shared" si="52"/>
        <v>Low</v>
      </c>
      <c r="H1122">
        <v>2.1</v>
      </c>
      <c r="I1122">
        <v>2.2799999999999998</v>
      </c>
      <c r="J1122" s="1">
        <v>1.1000000000000001</v>
      </c>
      <c r="K1122" t="str">
        <f t="shared" si="53"/>
        <v>1-2 hours</v>
      </c>
      <c r="L1122" t="s">
        <v>17</v>
      </c>
      <c r="M1122">
        <v>6</v>
      </c>
      <c r="N1122">
        <v>5</v>
      </c>
      <c r="O1122">
        <v>7</v>
      </c>
      <c r="P1122">
        <v>0</v>
      </c>
    </row>
    <row r="1123" spans="1:16" x14ac:dyDescent="0.25">
      <c r="A1123">
        <v>18</v>
      </c>
      <c r="B1123" t="s">
        <v>14</v>
      </c>
      <c r="C1123">
        <v>1.8</v>
      </c>
      <c r="D1123" t="str">
        <f t="shared" si="51"/>
        <v>Low</v>
      </c>
      <c r="E1123" t="s">
        <v>15</v>
      </c>
      <c r="F1123" s="1">
        <v>6.1</v>
      </c>
      <c r="G1123" t="str">
        <f t="shared" si="52"/>
        <v>Low</v>
      </c>
      <c r="H1123">
        <v>2.7</v>
      </c>
      <c r="I1123">
        <v>2.86</v>
      </c>
      <c r="J1123" s="1">
        <v>1.1000000000000001</v>
      </c>
      <c r="K1123" t="str">
        <f t="shared" si="53"/>
        <v>1-2 hours</v>
      </c>
      <c r="L1123" t="s">
        <v>13</v>
      </c>
      <c r="M1123">
        <v>4</v>
      </c>
      <c r="N1123">
        <v>2</v>
      </c>
      <c r="O1123">
        <v>4</v>
      </c>
      <c r="P1123">
        <v>0</v>
      </c>
    </row>
    <row r="1124" spans="1:16" x14ac:dyDescent="0.25">
      <c r="A1124">
        <v>18</v>
      </c>
      <c r="B1124" t="s">
        <v>14</v>
      </c>
      <c r="C1124">
        <v>5.8</v>
      </c>
      <c r="D1124" t="str">
        <f t="shared" si="51"/>
        <v>Medium</v>
      </c>
      <c r="E1124" t="s">
        <v>18</v>
      </c>
      <c r="F1124" s="1">
        <v>5.0999999999999996</v>
      </c>
      <c r="G1124" t="str">
        <f t="shared" si="52"/>
        <v>Low</v>
      </c>
      <c r="H1124">
        <v>1.2</v>
      </c>
      <c r="I1124">
        <v>3.24</v>
      </c>
      <c r="J1124" s="1">
        <v>0.4</v>
      </c>
      <c r="K1124" t="str">
        <f t="shared" si="53"/>
        <v>0-1 hours</v>
      </c>
      <c r="L1124" t="s">
        <v>16</v>
      </c>
      <c r="M1124">
        <v>5</v>
      </c>
      <c r="N1124">
        <v>9</v>
      </c>
      <c r="O1124">
        <v>2</v>
      </c>
      <c r="P1124">
        <v>0</v>
      </c>
    </row>
    <row r="1125" spans="1:16" x14ac:dyDescent="0.25">
      <c r="A1125">
        <v>18</v>
      </c>
      <c r="B1125" t="s">
        <v>14</v>
      </c>
      <c r="C1125">
        <v>2.2000000000000002</v>
      </c>
      <c r="D1125" t="str">
        <f t="shared" si="51"/>
        <v>Medium</v>
      </c>
      <c r="E1125" t="s">
        <v>12</v>
      </c>
      <c r="F1125" s="1">
        <v>4.4000000000000004</v>
      </c>
      <c r="G1125" t="str">
        <f t="shared" si="52"/>
        <v>Low</v>
      </c>
      <c r="H1125">
        <v>1.7</v>
      </c>
      <c r="I1125">
        <v>2.86</v>
      </c>
      <c r="J1125" s="1">
        <v>1.1000000000000001</v>
      </c>
      <c r="K1125" t="str">
        <f t="shared" si="53"/>
        <v>1-2 hours</v>
      </c>
      <c r="L1125" t="s">
        <v>16</v>
      </c>
      <c r="M1125">
        <v>8</v>
      </c>
      <c r="N1125">
        <v>9</v>
      </c>
      <c r="O1125">
        <v>7</v>
      </c>
      <c r="P1125">
        <v>0</v>
      </c>
    </row>
    <row r="1126" spans="1:16" x14ac:dyDescent="0.25">
      <c r="A1126">
        <v>17</v>
      </c>
      <c r="B1126" t="s">
        <v>11</v>
      </c>
      <c r="C1126">
        <v>6.9</v>
      </c>
      <c r="D1126" t="str">
        <f t="shared" si="51"/>
        <v>Medium</v>
      </c>
      <c r="E1126" t="s">
        <v>18</v>
      </c>
      <c r="F1126" s="1">
        <v>4.5999999999999996</v>
      </c>
      <c r="G1126" t="str">
        <f t="shared" si="52"/>
        <v>Low</v>
      </c>
      <c r="H1126">
        <v>2.5</v>
      </c>
      <c r="I1126">
        <v>2.04</v>
      </c>
      <c r="J1126" s="1">
        <v>0.8</v>
      </c>
      <c r="K1126" t="str">
        <f t="shared" si="53"/>
        <v>0-1 hours</v>
      </c>
      <c r="L1126" t="s">
        <v>16</v>
      </c>
      <c r="M1126">
        <v>10</v>
      </c>
      <c r="N1126">
        <v>9</v>
      </c>
      <c r="O1126">
        <v>2</v>
      </c>
      <c r="P1126">
        <v>1</v>
      </c>
    </row>
    <row r="1127" spans="1:16" x14ac:dyDescent="0.25">
      <c r="A1127">
        <v>14</v>
      </c>
      <c r="B1127" t="s">
        <v>14</v>
      </c>
      <c r="C1127">
        <v>5.7</v>
      </c>
      <c r="D1127" t="str">
        <f t="shared" si="51"/>
        <v>Medium</v>
      </c>
      <c r="E1127" t="s">
        <v>12</v>
      </c>
      <c r="F1127" s="1">
        <v>6.7</v>
      </c>
      <c r="G1127" t="str">
        <f t="shared" si="52"/>
        <v>Low</v>
      </c>
      <c r="H1127">
        <v>2.6</v>
      </c>
      <c r="I1127">
        <v>2.35</v>
      </c>
      <c r="J1127" s="1">
        <v>1.8</v>
      </c>
      <c r="K1127" t="str">
        <f t="shared" si="53"/>
        <v>1-2 hours</v>
      </c>
      <c r="L1127" t="s">
        <v>16</v>
      </c>
      <c r="M1127">
        <v>10</v>
      </c>
      <c r="N1127">
        <v>10</v>
      </c>
      <c r="O1127">
        <v>7</v>
      </c>
      <c r="P1127">
        <v>0</v>
      </c>
    </row>
    <row r="1128" spans="1:16" x14ac:dyDescent="0.25">
      <c r="A1128">
        <v>17</v>
      </c>
      <c r="B1128" t="s">
        <v>11</v>
      </c>
      <c r="C1128">
        <v>7.5</v>
      </c>
      <c r="D1128" t="str">
        <f t="shared" si="51"/>
        <v>High</v>
      </c>
      <c r="E1128" t="s">
        <v>15</v>
      </c>
      <c r="F1128" s="1">
        <v>5.6</v>
      </c>
      <c r="G1128" t="str">
        <f t="shared" si="52"/>
        <v>Low</v>
      </c>
      <c r="H1128">
        <v>2.2999999999999998</v>
      </c>
      <c r="I1128">
        <v>2.37</v>
      </c>
      <c r="J1128" s="1">
        <v>0</v>
      </c>
      <c r="K1128" t="str">
        <f t="shared" si="53"/>
        <v>No activity</v>
      </c>
      <c r="L1128" t="s">
        <v>16</v>
      </c>
      <c r="M1128">
        <v>3</v>
      </c>
      <c r="N1128">
        <v>10</v>
      </c>
      <c r="O1128">
        <v>8</v>
      </c>
      <c r="P1128">
        <v>0</v>
      </c>
    </row>
    <row r="1129" spans="1:16" x14ac:dyDescent="0.25">
      <c r="A1129">
        <v>13</v>
      </c>
      <c r="B1129" t="s">
        <v>11</v>
      </c>
      <c r="C1129">
        <v>5.2</v>
      </c>
      <c r="D1129" t="str">
        <f t="shared" si="51"/>
        <v>Medium</v>
      </c>
      <c r="E1129" t="s">
        <v>18</v>
      </c>
      <c r="F1129" s="1">
        <v>6.4</v>
      </c>
      <c r="G1129" t="str">
        <f t="shared" si="52"/>
        <v>Low</v>
      </c>
      <c r="H1129">
        <v>2.5</v>
      </c>
      <c r="I1129">
        <v>3.13</v>
      </c>
      <c r="J1129" s="1">
        <v>0.3</v>
      </c>
      <c r="K1129" t="str">
        <f t="shared" si="53"/>
        <v>0-1 hours</v>
      </c>
      <c r="L1129" t="s">
        <v>17</v>
      </c>
      <c r="M1129">
        <v>8</v>
      </c>
      <c r="N1129">
        <v>6</v>
      </c>
      <c r="O1129">
        <v>7</v>
      </c>
      <c r="P1129">
        <v>0</v>
      </c>
    </row>
    <row r="1130" spans="1:16" x14ac:dyDescent="0.25">
      <c r="A1130">
        <v>16</v>
      </c>
      <c r="B1130" t="s">
        <v>11</v>
      </c>
      <c r="C1130">
        <v>7.2</v>
      </c>
      <c r="D1130" t="str">
        <f t="shared" si="51"/>
        <v>High</v>
      </c>
      <c r="E1130" t="s">
        <v>18</v>
      </c>
      <c r="F1130" s="1">
        <v>6.9</v>
      </c>
      <c r="G1130" t="str">
        <f t="shared" si="52"/>
        <v>Low</v>
      </c>
      <c r="H1130">
        <v>2.1</v>
      </c>
      <c r="I1130">
        <v>2.3199999999999998</v>
      </c>
      <c r="J1130" s="1">
        <v>1.1000000000000001</v>
      </c>
      <c r="K1130" t="str">
        <f t="shared" si="53"/>
        <v>1-2 hours</v>
      </c>
      <c r="L1130" t="s">
        <v>13</v>
      </c>
      <c r="M1130">
        <v>3</v>
      </c>
      <c r="N1130">
        <v>4</v>
      </c>
      <c r="O1130">
        <v>10</v>
      </c>
      <c r="P1130">
        <v>0</v>
      </c>
    </row>
    <row r="1131" spans="1:16" x14ac:dyDescent="0.25">
      <c r="A1131">
        <v>19</v>
      </c>
      <c r="B1131" t="s">
        <v>11</v>
      </c>
      <c r="C1131">
        <v>2</v>
      </c>
      <c r="D1131" t="str">
        <f t="shared" si="51"/>
        <v>Medium</v>
      </c>
      <c r="E1131" t="s">
        <v>15</v>
      </c>
      <c r="F1131" s="1">
        <v>4.3</v>
      </c>
      <c r="G1131" t="str">
        <f t="shared" si="52"/>
        <v>Low</v>
      </c>
      <c r="H1131">
        <v>0.8</v>
      </c>
      <c r="I1131">
        <v>3.4</v>
      </c>
      <c r="J1131" s="1">
        <v>0.7</v>
      </c>
      <c r="K1131" t="str">
        <f t="shared" si="53"/>
        <v>0-1 hours</v>
      </c>
      <c r="L1131" t="s">
        <v>13</v>
      </c>
      <c r="M1131">
        <v>8</v>
      </c>
      <c r="N1131">
        <v>1</v>
      </c>
      <c r="O1131">
        <v>1</v>
      </c>
      <c r="P1131">
        <v>0</v>
      </c>
    </row>
    <row r="1132" spans="1:16" x14ac:dyDescent="0.25">
      <c r="A1132">
        <v>13</v>
      </c>
      <c r="B1132" t="s">
        <v>14</v>
      </c>
      <c r="C1132">
        <v>4.7</v>
      </c>
      <c r="D1132" t="str">
        <f t="shared" si="51"/>
        <v>Medium</v>
      </c>
      <c r="E1132" t="s">
        <v>18</v>
      </c>
      <c r="F1132" s="1">
        <v>6.8</v>
      </c>
      <c r="G1132" t="str">
        <f t="shared" si="52"/>
        <v>Low</v>
      </c>
      <c r="H1132">
        <v>1.4</v>
      </c>
      <c r="I1132">
        <v>3.91</v>
      </c>
      <c r="J1132" s="1">
        <v>0.8</v>
      </c>
      <c r="K1132" t="str">
        <f t="shared" si="53"/>
        <v>0-1 hours</v>
      </c>
      <c r="L1132" t="s">
        <v>16</v>
      </c>
      <c r="M1132">
        <v>10</v>
      </c>
      <c r="N1132">
        <v>6</v>
      </c>
      <c r="O1132">
        <v>9</v>
      </c>
      <c r="P1132">
        <v>0</v>
      </c>
    </row>
    <row r="1133" spans="1:16" x14ac:dyDescent="0.25">
      <c r="A1133">
        <v>14</v>
      </c>
      <c r="B1133" t="s">
        <v>11</v>
      </c>
      <c r="C1133">
        <v>5.6</v>
      </c>
      <c r="D1133" t="str">
        <f t="shared" si="51"/>
        <v>Medium</v>
      </c>
      <c r="E1133" t="s">
        <v>18</v>
      </c>
      <c r="F1133" s="1">
        <v>4.5</v>
      </c>
      <c r="G1133" t="str">
        <f t="shared" si="52"/>
        <v>Low</v>
      </c>
      <c r="H1133">
        <v>1.4</v>
      </c>
      <c r="I1133">
        <v>2.44</v>
      </c>
      <c r="J1133" s="1">
        <v>1.2</v>
      </c>
      <c r="K1133" t="str">
        <f t="shared" si="53"/>
        <v>1-2 hours</v>
      </c>
      <c r="L1133" t="s">
        <v>13</v>
      </c>
      <c r="M1133">
        <v>5</v>
      </c>
      <c r="N1133">
        <v>10</v>
      </c>
      <c r="O1133">
        <v>9</v>
      </c>
      <c r="P1133">
        <v>0</v>
      </c>
    </row>
    <row r="1134" spans="1:16" x14ac:dyDescent="0.25">
      <c r="A1134">
        <v>18</v>
      </c>
      <c r="B1134" t="s">
        <v>14</v>
      </c>
      <c r="C1134">
        <v>4.5</v>
      </c>
      <c r="D1134" t="str">
        <f t="shared" si="51"/>
        <v>Medium</v>
      </c>
      <c r="E1134" t="s">
        <v>12</v>
      </c>
      <c r="F1134" s="1">
        <v>4</v>
      </c>
      <c r="G1134" t="str">
        <f t="shared" si="52"/>
        <v>Low</v>
      </c>
      <c r="H1134">
        <v>2.9</v>
      </c>
      <c r="I1134">
        <v>3.15</v>
      </c>
      <c r="J1134" s="1">
        <v>1.9</v>
      </c>
      <c r="K1134" t="str">
        <f t="shared" si="53"/>
        <v>1-2 hours</v>
      </c>
      <c r="L1134" t="s">
        <v>17</v>
      </c>
      <c r="M1134">
        <v>8</v>
      </c>
      <c r="N1134">
        <v>6</v>
      </c>
      <c r="O1134">
        <v>5</v>
      </c>
      <c r="P1134">
        <v>0</v>
      </c>
    </row>
    <row r="1135" spans="1:16" x14ac:dyDescent="0.25">
      <c r="A1135">
        <v>15</v>
      </c>
      <c r="B1135" t="s">
        <v>14</v>
      </c>
      <c r="C1135">
        <v>1.1000000000000001</v>
      </c>
      <c r="D1135" t="str">
        <f t="shared" si="51"/>
        <v>Low</v>
      </c>
      <c r="E1135" t="s">
        <v>12</v>
      </c>
      <c r="F1135" s="1">
        <v>9</v>
      </c>
      <c r="G1135" t="str">
        <f t="shared" si="52"/>
        <v>Normal</v>
      </c>
      <c r="H1135">
        <v>1.2</v>
      </c>
      <c r="I1135">
        <v>2.9</v>
      </c>
      <c r="J1135" s="1">
        <v>1.8</v>
      </c>
      <c r="K1135" t="str">
        <f t="shared" si="53"/>
        <v>1-2 hours</v>
      </c>
      <c r="L1135" t="s">
        <v>17</v>
      </c>
      <c r="M1135">
        <v>5</v>
      </c>
      <c r="N1135">
        <v>10</v>
      </c>
      <c r="O1135">
        <v>2</v>
      </c>
      <c r="P1135">
        <v>0</v>
      </c>
    </row>
    <row r="1136" spans="1:16" x14ac:dyDescent="0.25">
      <c r="A1136">
        <v>18</v>
      </c>
      <c r="B1136" t="s">
        <v>14</v>
      </c>
      <c r="C1136">
        <v>5.3</v>
      </c>
      <c r="D1136" t="str">
        <f t="shared" si="51"/>
        <v>Medium</v>
      </c>
      <c r="E1136" t="s">
        <v>18</v>
      </c>
      <c r="F1136" s="1">
        <v>4.5999999999999996</v>
      </c>
      <c r="G1136" t="str">
        <f t="shared" si="52"/>
        <v>Low</v>
      </c>
      <c r="H1136">
        <v>1.5</v>
      </c>
      <c r="I1136">
        <v>2.54</v>
      </c>
      <c r="J1136" s="1">
        <v>0.6</v>
      </c>
      <c r="K1136" t="str">
        <f t="shared" si="53"/>
        <v>0-1 hours</v>
      </c>
      <c r="L1136" t="s">
        <v>17</v>
      </c>
      <c r="M1136">
        <v>4</v>
      </c>
      <c r="N1136">
        <v>3</v>
      </c>
      <c r="O1136">
        <v>4</v>
      </c>
      <c r="P1136">
        <v>0</v>
      </c>
    </row>
    <row r="1137" spans="1:16" x14ac:dyDescent="0.25">
      <c r="A1137">
        <v>14</v>
      </c>
      <c r="B1137" t="s">
        <v>14</v>
      </c>
      <c r="C1137">
        <v>3.5</v>
      </c>
      <c r="D1137" t="str">
        <f t="shared" si="51"/>
        <v>Medium</v>
      </c>
      <c r="E1137" t="s">
        <v>18</v>
      </c>
      <c r="F1137" s="1">
        <v>5.3</v>
      </c>
      <c r="G1137" t="str">
        <f t="shared" si="52"/>
        <v>Low</v>
      </c>
      <c r="H1137">
        <v>2.5</v>
      </c>
      <c r="I1137">
        <v>2.29</v>
      </c>
      <c r="J1137" s="1">
        <v>0.7</v>
      </c>
      <c r="K1137" t="str">
        <f t="shared" si="53"/>
        <v>0-1 hours</v>
      </c>
      <c r="L1137" t="s">
        <v>13</v>
      </c>
      <c r="M1137">
        <v>1</v>
      </c>
      <c r="N1137">
        <v>10</v>
      </c>
      <c r="O1137">
        <v>3</v>
      </c>
      <c r="P1137">
        <v>0</v>
      </c>
    </row>
    <row r="1138" spans="1:16" x14ac:dyDescent="0.25">
      <c r="A1138">
        <v>15</v>
      </c>
      <c r="B1138" t="s">
        <v>11</v>
      </c>
      <c r="C1138">
        <v>6.5</v>
      </c>
      <c r="D1138" t="str">
        <f t="shared" si="51"/>
        <v>Medium</v>
      </c>
      <c r="E1138" t="s">
        <v>18</v>
      </c>
      <c r="F1138" s="1">
        <v>6.2</v>
      </c>
      <c r="G1138" t="str">
        <f t="shared" si="52"/>
        <v>Low</v>
      </c>
      <c r="H1138">
        <v>1.2</v>
      </c>
      <c r="I1138">
        <v>3.19</v>
      </c>
      <c r="J1138" s="1">
        <v>0</v>
      </c>
      <c r="K1138" t="str">
        <f t="shared" si="53"/>
        <v>No activity</v>
      </c>
      <c r="L1138" t="s">
        <v>17</v>
      </c>
      <c r="M1138">
        <v>6</v>
      </c>
      <c r="N1138">
        <v>5</v>
      </c>
      <c r="O1138">
        <v>2</v>
      </c>
      <c r="P1138">
        <v>0</v>
      </c>
    </row>
    <row r="1139" spans="1:16" x14ac:dyDescent="0.25">
      <c r="A1139">
        <v>14</v>
      </c>
      <c r="B1139" t="s">
        <v>11</v>
      </c>
      <c r="C1139">
        <v>7</v>
      </c>
      <c r="D1139" t="str">
        <f t="shared" si="51"/>
        <v>High</v>
      </c>
      <c r="E1139" t="s">
        <v>18</v>
      </c>
      <c r="F1139" s="1">
        <v>6.7</v>
      </c>
      <c r="G1139" t="str">
        <f t="shared" si="52"/>
        <v>Low</v>
      </c>
      <c r="H1139">
        <v>1.9</v>
      </c>
      <c r="I1139">
        <v>2.48</v>
      </c>
      <c r="J1139" s="1">
        <v>1.3</v>
      </c>
      <c r="K1139" t="str">
        <f t="shared" si="53"/>
        <v>1-2 hours</v>
      </c>
      <c r="L1139" t="s">
        <v>13</v>
      </c>
      <c r="M1139">
        <v>7</v>
      </c>
      <c r="N1139">
        <v>1</v>
      </c>
      <c r="O1139">
        <v>5</v>
      </c>
      <c r="P1139">
        <v>0</v>
      </c>
    </row>
    <row r="1140" spans="1:16" x14ac:dyDescent="0.25">
      <c r="A1140">
        <v>14</v>
      </c>
      <c r="B1140" t="s">
        <v>14</v>
      </c>
      <c r="C1140">
        <v>4</v>
      </c>
      <c r="D1140" t="str">
        <f t="shared" si="51"/>
        <v>Medium</v>
      </c>
      <c r="E1140" t="s">
        <v>15</v>
      </c>
      <c r="F1140" s="1">
        <v>4.0999999999999996</v>
      </c>
      <c r="G1140" t="str">
        <f t="shared" si="52"/>
        <v>Low</v>
      </c>
      <c r="H1140">
        <v>0.9</v>
      </c>
      <c r="I1140">
        <v>2.99</v>
      </c>
      <c r="J1140" s="1">
        <v>1.9</v>
      </c>
      <c r="K1140" t="str">
        <f t="shared" si="53"/>
        <v>1-2 hours</v>
      </c>
      <c r="L1140" t="s">
        <v>13</v>
      </c>
      <c r="M1140">
        <v>2</v>
      </c>
      <c r="N1140">
        <v>9</v>
      </c>
      <c r="O1140">
        <v>10</v>
      </c>
      <c r="P1140">
        <v>0</v>
      </c>
    </row>
    <row r="1141" spans="1:16" x14ac:dyDescent="0.25">
      <c r="A1141">
        <v>15</v>
      </c>
      <c r="B1141" t="s">
        <v>14</v>
      </c>
      <c r="C1141">
        <v>1.7</v>
      </c>
      <c r="D1141" t="str">
        <f t="shared" si="51"/>
        <v>Low</v>
      </c>
      <c r="E1141" t="s">
        <v>12</v>
      </c>
      <c r="F1141" s="1">
        <v>5.3</v>
      </c>
      <c r="G1141" t="str">
        <f t="shared" si="52"/>
        <v>Low</v>
      </c>
      <c r="H1141">
        <v>1.5</v>
      </c>
      <c r="I1141">
        <v>3.6</v>
      </c>
      <c r="J1141" s="1">
        <v>1.5</v>
      </c>
      <c r="K1141" t="str">
        <f t="shared" si="53"/>
        <v>1-2 hours</v>
      </c>
      <c r="L1141" t="s">
        <v>16</v>
      </c>
      <c r="M1141">
        <v>6</v>
      </c>
      <c r="N1141">
        <v>4</v>
      </c>
      <c r="O1141">
        <v>3</v>
      </c>
      <c r="P1141">
        <v>0</v>
      </c>
    </row>
    <row r="1142" spans="1:16" x14ac:dyDescent="0.25">
      <c r="A1142">
        <v>14</v>
      </c>
      <c r="B1142" t="s">
        <v>14</v>
      </c>
      <c r="C1142">
        <v>7.8</v>
      </c>
      <c r="D1142" t="str">
        <f t="shared" si="51"/>
        <v>High</v>
      </c>
      <c r="E1142" t="s">
        <v>15</v>
      </c>
      <c r="F1142" s="1">
        <v>4.7</v>
      </c>
      <c r="G1142" t="str">
        <f t="shared" si="52"/>
        <v>Low</v>
      </c>
      <c r="H1142">
        <v>2.2000000000000002</v>
      </c>
      <c r="I1142">
        <v>3.53</v>
      </c>
      <c r="J1142" s="1">
        <v>0.6</v>
      </c>
      <c r="K1142" t="str">
        <f t="shared" si="53"/>
        <v>0-1 hours</v>
      </c>
      <c r="L1142" t="s">
        <v>13</v>
      </c>
      <c r="M1142">
        <v>5</v>
      </c>
      <c r="N1142">
        <v>8</v>
      </c>
      <c r="O1142">
        <v>2</v>
      </c>
      <c r="P1142">
        <v>0</v>
      </c>
    </row>
    <row r="1143" spans="1:16" x14ac:dyDescent="0.25">
      <c r="A1143">
        <v>15</v>
      </c>
      <c r="B1143" t="s">
        <v>14</v>
      </c>
      <c r="C1143">
        <v>5.2</v>
      </c>
      <c r="D1143" t="str">
        <f t="shared" si="51"/>
        <v>Medium</v>
      </c>
      <c r="E1143" t="s">
        <v>12</v>
      </c>
      <c r="F1143" s="1">
        <v>6.7</v>
      </c>
      <c r="G1143" t="str">
        <f t="shared" si="52"/>
        <v>Low</v>
      </c>
      <c r="H1143">
        <v>3</v>
      </c>
      <c r="I1143">
        <v>3.18</v>
      </c>
      <c r="J1143" s="1">
        <v>0.6</v>
      </c>
      <c r="K1143" t="str">
        <f t="shared" si="53"/>
        <v>0-1 hours</v>
      </c>
      <c r="L1143" t="s">
        <v>13</v>
      </c>
      <c r="M1143">
        <v>9</v>
      </c>
      <c r="N1143">
        <v>7</v>
      </c>
      <c r="O1143">
        <v>9</v>
      </c>
      <c r="P1143">
        <v>0</v>
      </c>
    </row>
    <row r="1144" spans="1:16" x14ac:dyDescent="0.25">
      <c r="A1144">
        <v>19</v>
      </c>
      <c r="B1144" t="s">
        <v>14</v>
      </c>
      <c r="C1144">
        <v>7.9</v>
      </c>
      <c r="D1144" t="str">
        <f t="shared" si="51"/>
        <v>High</v>
      </c>
      <c r="E1144" t="s">
        <v>15</v>
      </c>
      <c r="F1144" s="1">
        <v>5.8</v>
      </c>
      <c r="G1144" t="str">
        <f t="shared" si="52"/>
        <v>Low</v>
      </c>
      <c r="H1144">
        <v>2.1</v>
      </c>
      <c r="I1144">
        <v>3.91</v>
      </c>
      <c r="J1144" s="1">
        <v>1.4</v>
      </c>
      <c r="K1144" t="str">
        <f t="shared" si="53"/>
        <v>1-2 hours</v>
      </c>
      <c r="L1144" t="s">
        <v>16</v>
      </c>
      <c r="M1144">
        <v>7</v>
      </c>
      <c r="N1144">
        <v>1</v>
      </c>
      <c r="O1144">
        <v>10</v>
      </c>
      <c r="P1144">
        <v>0</v>
      </c>
    </row>
    <row r="1145" spans="1:16" x14ac:dyDescent="0.25">
      <c r="A1145">
        <v>17</v>
      </c>
      <c r="B1145" t="s">
        <v>11</v>
      </c>
      <c r="C1145">
        <v>5.9</v>
      </c>
      <c r="D1145" t="str">
        <f t="shared" si="51"/>
        <v>Medium</v>
      </c>
      <c r="E1145" t="s">
        <v>18</v>
      </c>
      <c r="F1145" s="1">
        <v>6.6</v>
      </c>
      <c r="G1145" t="str">
        <f t="shared" si="52"/>
        <v>Low</v>
      </c>
      <c r="H1145">
        <v>1.3</v>
      </c>
      <c r="I1145">
        <v>2.11</v>
      </c>
      <c r="J1145" s="1">
        <v>1.4</v>
      </c>
      <c r="K1145" t="str">
        <f t="shared" si="53"/>
        <v>1-2 hours</v>
      </c>
      <c r="L1145" t="s">
        <v>13</v>
      </c>
      <c r="M1145">
        <v>10</v>
      </c>
      <c r="N1145">
        <v>4</v>
      </c>
      <c r="O1145">
        <v>9</v>
      </c>
      <c r="P1145">
        <v>0</v>
      </c>
    </row>
    <row r="1146" spans="1:16" x14ac:dyDescent="0.25">
      <c r="A1146">
        <v>13</v>
      </c>
      <c r="B1146" t="s">
        <v>14</v>
      </c>
      <c r="C1146">
        <v>2.6</v>
      </c>
      <c r="D1146" t="str">
        <f t="shared" si="51"/>
        <v>Medium</v>
      </c>
      <c r="E1146" t="s">
        <v>15</v>
      </c>
      <c r="F1146" s="1">
        <v>8.5</v>
      </c>
      <c r="G1146" t="str">
        <f t="shared" si="52"/>
        <v>Normal</v>
      </c>
      <c r="H1146">
        <v>1.9</v>
      </c>
      <c r="I1146">
        <v>3.06</v>
      </c>
      <c r="J1146" s="1">
        <v>1.9</v>
      </c>
      <c r="K1146" t="str">
        <f t="shared" si="53"/>
        <v>1-2 hours</v>
      </c>
      <c r="L1146" t="s">
        <v>16</v>
      </c>
      <c r="M1146">
        <v>5</v>
      </c>
      <c r="N1146">
        <v>7</v>
      </c>
      <c r="O1146">
        <v>6</v>
      </c>
      <c r="P1146">
        <v>0</v>
      </c>
    </row>
    <row r="1147" spans="1:16" x14ac:dyDescent="0.25">
      <c r="A1147">
        <v>18</v>
      </c>
      <c r="B1147" t="s">
        <v>14</v>
      </c>
      <c r="C1147">
        <v>6.3</v>
      </c>
      <c r="D1147" t="str">
        <f t="shared" si="51"/>
        <v>Medium</v>
      </c>
      <c r="E1147" t="s">
        <v>15</v>
      </c>
      <c r="F1147" s="1">
        <v>4.8</v>
      </c>
      <c r="G1147" t="str">
        <f t="shared" si="52"/>
        <v>Low</v>
      </c>
      <c r="H1147">
        <v>1.2</v>
      </c>
      <c r="I1147">
        <v>2.91</v>
      </c>
      <c r="J1147" s="1">
        <v>1.3</v>
      </c>
      <c r="K1147" t="str">
        <f t="shared" si="53"/>
        <v>1-2 hours</v>
      </c>
      <c r="L1147" t="s">
        <v>17</v>
      </c>
      <c r="M1147">
        <v>9</v>
      </c>
      <c r="N1147">
        <v>10</v>
      </c>
      <c r="O1147">
        <v>3</v>
      </c>
      <c r="P1147">
        <v>1</v>
      </c>
    </row>
    <row r="1148" spans="1:16" x14ac:dyDescent="0.25">
      <c r="A1148">
        <v>19</v>
      </c>
      <c r="B1148" t="s">
        <v>14</v>
      </c>
      <c r="C1148">
        <v>4.5</v>
      </c>
      <c r="D1148" t="str">
        <f t="shared" si="51"/>
        <v>Medium</v>
      </c>
      <c r="E1148" t="s">
        <v>15</v>
      </c>
      <c r="F1148" s="1">
        <v>8.4</v>
      </c>
      <c r="G1148" t="str">
        <f t="shared" si="52"/>
        <v>Normal</v>
      </c>
      <c r="H1148">
        <v>2.1</v>
      </c>
      <c r="I1148">
        <v>2.62</v>
      </c>
      <c r="J1148" s="1">
        <v>2</v>
      </c>
      <c r="K1148" t="str">
        <f t="shared" si="53"/>
        <v>1-2 hours</v>
      </c>
      <c r="L1148" t="s">
        <v>13</v>
      </c>
      <c r="M1148">
        <v>5</v>
      </c>
      <c r="N1148">
        <v>10</v>
      </c>
      <c r="O1148">
        <v>5</v>
      </c>
      <c r="P1148">
        <v>0</v>
      </c>
    </row>
    <row r="1149" spans="1:16" x14ac:dyDescent="0.25">
      <c r="A1149">
        <v>19</v>
      </c>
      <c r="B1149" t="s">
        <v>11</v>
      </c>
      <c r="C1149">
        <v>5.3</v>
      </c>
      <c r="D1149" t="str">
        <f t="shared" si="51"/>
        <v>Medium</v>
      </c>
      <c r="E1149" t="s">
        <v>12</v>
      </c>
      <c r="F1149" s="1">
        <v>4.7</v>
      </c>
      <c r="G1149" t="str">
        <f t="shared" si="52"/>
        <v>Low</v>
      </c>
      <c r="H1149">
        <v>2.8</v>
      </c>
      <c r="I1149">
        <v>2.82</v>
      </c>
      <c r="J1149" s="1">
        <v>0.3</v>
      </c>
      <c r="K1149" t="str">
        <f t="shared" si="53"/>
        <v>0-1 hours</v>
      </c>
      <c r="L1149" t="s">
        <v>16</v>
      </c>
      <c r="M1149">
        <v>1</v>
      </c>
      <c r="N1149">
        <v>9</v>
      </c>
      <c r="O1149">
        <v>6</v>
      </c>
      <c r="P1149">
        <v>0</v>
      </c>
    </row>
    <row r="1150" spans="1:16" x14ac:dyDescent="0.25">
      <c r="A1150">
        <v>13</v>
      </c>
      <c r="B1150" t="s">
        <v>14</v>
      </c>
      <c r="C1150">
        <v>5.2</v>
      </c>
      <c r="D1150" t="str">
        <f t="shared" si="51"/>
        <v>Medium</v>
      </c>
      <c r="E1150" t="s">
        <v>18</v>
      </c>
      <c r="F1150" s="1">
        <v>7.4</v>
      </c>
      <c r="G1150" t="str">
        <f t="shared" si="52"/>
        <v>Low</v>
      </c>
      <c r="H1150">
        <v>2.5</v>
      </c>
      <c r="I1150">
        <v>3.93</v>
      </c>
      <c r="J1150" s="1">
        <v>0.8</v>
      </c>
      <c r="K1150" t="str">
        <f t="shared" si="53"/>
        <v>0-1 hours</v>
      </c>
      <c r="L1150" t="s">
        <v>13</v>
      </c>
      <c r="M1150">
        <v>4</v>
      </c>
      <c r="N1150">
        <v>4</v>
      </c>
      <c r="O1150">
        <v>8</v>
      </c>
      <c r="P1150">
        <v>0</v>
      </c>
    </row>
    <row r="1151" spans="1:16" x14ac:dyDescent="0.25">
      <c r="A1151">
        <v>15</v>
      </c>
      <c r="B1151" t="s">
        <v>11</v>
      </c>
      <c r="C1151">
        <v>3.3</v>
      </c>
      <c r="D1151" t="str">
        <f t="shared" si="51"/>
        <v>Medium</v>
      </c>
      <c r="E1151" t="s">
        <v>18</v>
      </c>
      <c r="F1151" s="1">
        <v>6.1</v>
      </c>
      <c r="G1151" t="str">
        <f t="shared" si="52"/>
        <v>Low</v>
      </c>
      <c r="H1151">
        <v>1.2</v>
      </c>
      <c r="I1151">
        <v>2.56</v>
      </c>
      <c r="J1151" s="1">
        <v>1.4</v>
      </c>
      <c r="K1151" t="str">
        <f t="shared" si="53"/>
        <v>1-2 hours</v>
      </c>
      <c r="L1151" t="s">
        <v>13</v>
      </c>
      <c r="M1151">
        <v>8</v>
      </c>
      <c r="N1151">
        <v>6</v>
      </c>
      <c r="O1151">
        <v>3</v>
      </c>
      <c r="P1151">
        <v>0</v>
      </c>
    </row>
    <row r="1152" spans="1:16" x14ac:dyDescent="0.25">
      <c r="A1152">
        <v>14</v>
      </c>
      <c r="B1152" t="s">
        <v>14</v>
      </c>
      <c r="C1152">
        <v>1.1000000000000001</v>
      </c>
      <c r="D1152" t="str">
        <f t="shared" si="51"/>
        <v>Low</v>
      </c>
      <c r="E1152" t="s">
        <v>18</v>
      </c>
      <c r="F1152" s="1">
        <v>5.4</v>
      </c>
      <c r="G1152" t="str">
        <f t="shared" si="52"/>
        <v>Low</v>
      </c>
      <c r="H1152">
        <v>1.6</v>
      </c>
      <c r="I1152">
        <v>3.34</v>
      </c>
      <c r="J1152" s="1">
        <v>1.5</v>
      </c>
      <c r="K1152" t="str">
        <f t="shared" si="53"/>
        <v>1-2 hours</v>
      </c>
      <c r="L1152" t="s">
        <v>17</v>
      </c>
      <c r="M1152">
        <v>4</v>
      </c>
      <c r="N1152">
        <v>5</v>
      </c>
      <c r="O1152">
        <v>8</v>
      </c>
      <c r="P1152">
        <v>0</v>
      </c>
    </row>
    <row r="1153" spans="1:16" x14ac:dyDescent="0.25">
      <c r="A1153">
        <v>17</v>
      </c>
      <c r="B1153" t="s">
        <v>14</v>
      </c>
      <c r="C1153">
        <v>5</v>
      </c>
      <c r="D1153" t="str">
        <f t="shared" si="51"/>
        <v>Medium</v>
      </c>
      <c r="E1153" t="s">
        <v>12</v>
      </c>
      <c r="F1153" s="1">
        <v>7.3</v>
      </c>
      <c r="G1153" t="str">
        <f t="shared" si="52"/>
        <v>Low</v>
      </c>
      <c r="H1153">
        <v>1.2</v>
      </c>
      <c r="I1153">
        <v>3.39</v>
      </c>
      <c r="J1153" s="1">
        <v>0.7</v>
      </c>
      <c r="K1153" t="str">
        <f t="shared" si="53"/>
        <v>0-1 hours</v>
      </c>
      <c r="L1153" t="s">
        <v>17</v>
      </c>
      <c r="M1153">
        <v>9</v>
      </c>
      <c r="N1153">
        <v>10</v>
      </c>
      <c r="O1153">
        <v>8</v>
      </c>
      <c r="P1153">
        <v>0</v>
      </c>
    </row>
    <row r="1154" spans="1:16" x14ac:dyDescent="0.25">
      <c r="A1154">
        <v>15</v>
      </c>
      <c r="B1154" t="s">
        <v>14</v>
      </c>
      <c r="C1154">
        <v>7.4</v>
      </c>
      <c r="D1154" t="str">
        <f t="shared" ref="D1154:D1201" si="54">IF(C1154&lt;2,"Low",IF(C1154&lt;7,"Medium","High"))</f>
        <v>High</v>
      </c>
      <c r="E1154" t="s">
        <v>15</v>
      </c>
      <c r="F1154" s="1">
        <v>8.6</v>
      </c>
      <c r="G1154" t="str">
        <f t="shared" ref="G1154:G1201" si="55">IF(F1154&gt;=8,"Normal","Low")</f>
        <v>Normal</v>
      </c>
      <c r="H1154">
        <v>1.4</v>
      </c>
      <c r="I1154">
        <v>2.19</v>
      </c>
      <c r="J1154" s="1">
        <v>1.8</v>
      </c>
      <c r="K1154" t="str">
        <f t="shared" ref="K1154:K1201" si="56">IF(J1154=0,"No activity",IF(J1154&lt;=1,"0-1 hours","1-2 hours"))</f>
        <v>1-2 hours</v>
      </c>
      <c r="L1154" t="s">
        <v>13</v>
      </c>
      <c r="M1154">
        <v>10</v>
      </c>
      <c r="N1154">
        <v>10</v>
      </c>
      <c r="O1154">
        <v>1</v>
      </c>
      <c r="P1154">
        <v>0</v>
      </c>
    </row>
    <row r="1155" spans="1:16" x14ac:dyDescent="0.25">
      <c r="A1155">
        <v>15</v>
      </c>
      <c r="B1155" t="s">
        <v>14</v>
      </c>
      <c r="C1155">
        <v>7.4</v>
      </c>
      <c r="D1155" t="str">
        <f t="shared" si="54"/>
        <v>High</v>
      </c>
      <c r="E1155" t="s">
        <v>15</v>
      </c>
      <c r="F1155" s="1">
        <v>8.9</v>
      </c>
      <c r="G1155" t="str">
        <f t="shared" si="55"/>
        <v>Normal</v>
      </c>
      <c r="H1155">
        <v>2.9</v>
      </c>
      <c r="I1155">
        <v>3.39</v>
      </c>
      <c r="J1155" s="1">
        <v>1.1000000000000001</v>
      </c>
      <c r="K1155" t="str">
        <f t="shared" si="56"/>
        <v>1-2 hours</v>
      </c>
      <c r="L1155" t="s">
        <v>16</v>
      </c>
      <c r="M1155">
        <v>4</v>
      </c>
      <c r="N1155">
        <v>9</v>
      </c>
      <c r="O1155">
        <v>1</v>
      </c>
      <c r="P1155">
        <v>0</v>
      </c>
    </row>
    <row r="1156" spans="1:16" x14ac:dyDescent="0.25">
      <c r="A1156">
        <v>17</v>
      </c>
      <c r="B1156" t="s">
        <v>11</v>
      </c>
      <c r="C1156">
        <v>6.6</v>
      </c>
      <c r="D1156" t="str">
        <f t="shared" si="54"/>
        <v>Medium</v>
      </c>
      <c r="E1156" t="s">
        <v>15</v>
      </c>
      <c r="F1156" s="1">
        <v>5.2</v>
      </c>
      <c r="G1156" t="str">
        <f t="shared" si="55"/>
        <v>Low</v>
      </c>
      <c r="H1156">
        <v>2.2000000000000002</v>
      </c>
      <c r="I1156">
        <v>2.98</v>
      </c>
      <c r="J1156" s="1">
        <v>0.8</v>
      </c>
      <c r="K1156" t="str">
        <f t="shared" si="56"/>
        <v>0-1 hours</v>
      </c>
      <c r="L1156" t="s">
        <v>16</v>
      </c>
      <c r="M1156">
        <v>6</v>
      </c>
      <c r="N1156">
        <v>8</v>
      </c>
      <c r="O1156">
        <v>7</v>
      </c>
      <c r="P1156">
        <v>0</v>
      </c>
    </row>
    <row r="1157" spans="1:16" x14ac:dyDescent="0.25">
      <c r="A1157">
        <v>13</v>
      </c>
      <c r="B1157" t="s">
        <v>14</v>
      </c>
      <c r="C1157">
        <v>7.1</v>
      </c>
      <c r="D1157" t="str">
        <f t="shared" si="54"/>
        <v>High</v>
      </c>
      <c r="E1157" t="s">
        <v>18</v>
      </c>
      <c r="F1157" s="1">
        <v>7.2</v>
      </c>
      <c r="G1157" t="str">
        <f t="shared" si="55"/>
        <v>Low</v>
      </c>
      <c r="H1157">
        <v>1.1000000000000001</v>
      </c>
      <c r="I1157">
        <v>3.69</v>
      </c>
      <c r="J1157" s="1">
        <v>1</v>
      </c>
      <c r="K1157" t="str">
        <f t="shared" si="56"/>
        <v>0-1 hours</v>
      </c>
      <c r="L1157" t="s">
        <v>13</v>
      </c>
      <c r="M1157">
        <v>4</v>
      </c>
      <c r="N1157">
        <v>6</v>
      </c>
      <c r="O1157">
        <v>3</v>
      </c>
      <c r="P1157">
        <v>0</v>
      </c>
    </row>
    <row r="1158" spans="1:16" x14ac:dyDescent="0.25">
      <c r="A1158">
        <v>15</v>
      </c>
      <c r="B1158" t="s">
        <v>14</v>
      </c>
      <c r="C1158">
        <v>1.1000000000000001</v>
      </c>
      <c r="D1158" t="str">
        <f t="shared" si="54"/>
        <v>Low</v>
      </c>
      <c r="E1158" t="s">
        <v>15</v>
      </c>
      <c r="F1158" s="1">
        <v>8.6</v>
      </c>
      <c r="G1158" t="str">
        <f t="shared" si="55"/>
        <v>Normal</v>
      </c>
      <c r="H1158">
        <v>2.2999999999999998</v>
      </c>
      <c r="I1158">
        <v>3.68</v>
      </c>
      <c r="J1158" s="1">
        <v>0.5</v>
      </c>
      <c r="K1158" t="str">
        <f t="shared" si="56"/>
        <v>0-1 hours</v>
      </c>
      <c r="L1158" t="s">
        <v>13</v>
      </c>
      <c r="M1158">
        <v>1</v>
      </c>
      <c r="N1158">
        <v>2</v>
      </c>
      <c r="O1158">
        <v>7</v>
      </c>
      <c r="P1158">
        <v>0</v>
      </c>
    </row>
    <row r="1159" spans="1:16" x14ac:dyDescent="0.25">
      <c r="A1159">
        <v>13</v>
      </c>
      <c r="B1159" t="s">
        <v>14</v>
      </c>
      <c r="C1159">
        <v>3.6</v>
      </c>
      <c r="D1159" t="str">
        <f t="shared" si="54"/>
        <v>Medium</v>
      </c>
      <c r="E1159" t="s">
        <v>15</v>
      </c>
      <c r="F1159" s="1">
        <v>8.6999999999999993</v>
      </c>
      <c r="G1159" t="str">
        <f t="shared" si="55"/>
        <v>Normal</v>
      </c>
      <c r="H1159">
        <v>0.8</v>
      </c>
      <c r="I1159">
        <v>2.41</v>
      </c>
      <c r="J1159" s="1">
        <v>1.3</v>
      </c>
      <c r="K1159" t="str">
        <f t="shared" si="56"/>
        <v>1-2 hours</v>
      </c>
      <c r="L1159" t="s">
        <v>13</v>
      </c>
      <c r="M1159">
        <v>4</v>
      </c>
      <c r="N1159">
        <v>6</v>
      </c>
      <c r="O1159">
        <v>8</v>
      </c>
      <c r="P1159">
        <v>0</v>
      </c>
    </row>
    <row r="1160" spans="1:16" x14ac:dyDescent="0.25">
      <c r="A1160">
        <v>16</v>
      </c>
      <c r="B1160" t="s">
        <v>11</v>
      </c>
      <c r="C1160">
        <v>5.0999999999999996</v>
      </c>
      <c r="D1160" t="str">
        <f t="shared" si="54"/>
        <v>Medium</v>
      </c>
      <c r="E1160" t="s">
        <v>15</v>
      </c>
      <c r="F1160" s="1">
        <v>4.5999999999999996</v>
      </c>
      <c r="G1160" t="str">
        <f t="shared" si="55"/>
        <v>Low</v>
      </c>
      <c r="H1160">
        <v>1.1000000000000001</v>
      </c>
      <c r="I1160">
        <v>2.75</v>
      </c>
      <c r="J1160" s="1">
        <v>1.5</v>
      </c>
      <c r="K1160" t="str">
        <f t="shared" si="56"/>
        <v>1-2 hours</v>
      </c>
      <c r="L1160" t="s">
        <v>17</v>
      </c>
      <c r="M1160">
        <v>6</v>
      </c>
      <c r="N1160">
        <v>3</v>
      </c>
      <c r="O1160">
        <v>6</v>
      </c>
      <c r="P1160">
        <v>0</v>
      </c>
    </row>
    <row r="1161" spans="1:16" x14ac:dyDescent="0.25">
      <c r="A1161">
        <v>19</v>
      </c>
      <c r="B1161" t="s">
        <v>14</v>
      </c>
      <c r="C1161">
        <v>7.3</v>
      </c>
      <c r="D1161" t="str">
        <f t="shared" si="54"/>
        <v>High</v>
      </c>
      <c r="E1161" t="s">
        <v>12</v>
      </c>
      <c r="F1161" s="1">
        <v>7.8</v>
      </c>
      <c r="G1161" t="str">
        <f t="shared" si="55"/>
        <v>Low</v>
      </c>
      <c r="H1161">
        <v>1</v>
      </c>
      <c r="I1161">
        <v>2.91</v>
      </c>
      <c r="J1161" s="1">
        <v>0.8</v>
      </c>
      <c r="K1161" t="str">
        <f t="shared" si="56"/>
        <v>0-1 hours</v>
      </c>
      <c r="L1161" t="s">
        <v>17</v>
      </c>
      <c r="M1161">
        <v>9</v>
      </c>
      <c r="N1161">
        <v>7</v>
      </c>
      <c r="O1161">
        <v>5</v>
      </c>
      <c r="P1161">
        <v>0</v>
      </c>
    </row>
    <row r="1162" spans="1:16" x14ac:dyDescent="0.25">
      <c r="A1162">
        <v>13</v>
      </c>
      <c r="B1162" t="s">
        <v>14</v>
      </c>
      <c r="C1162">
        <v>7.7</v>
      </c>
      <c r="D1162" t="str">
        <f t="shared" si="54"/>
        <v>High</v>
      </c>
      <c r="E1162" t="s">
        <v>18</v>
      </c>
      <c r="F1162" s="1">
        <v>7.5</v>
      </c>
      <c r="G1162" t="str">
        <f t="shared" si="55"/>
        <v>Low</v>
      </c>
      <c r="H1162">
        <v>1.4</v>
      </c>
      <c r="I1162">
        <v>2.2400000000000002</v>
      </c>
      <c r="J1162" s="1">
        <v>0.1</v>
      </c>
      <c r="K1162" t="str">
        <f t="shared" si="56"/>
        <v>0-1 hours</v>
      </c>
      <c r="L1162" t="s">
        <v>13</v>
      </c>
      <c r="M1162">
        <v>5</v>
      </c>
      <c r="N1162">
        <v>3</v>
      </c>
      <c r="O1162">
        <v>3</v>
      </c>
      <c r="P1162">
        <v>0</v>
      </c>
    </row>
    <row r="1163" spans="1:16" x14ac:dyDescent="0.25">
      <c r="A1163">
        <v>13</v>
      </c>
      <c r="B1163" t="s">
        <v>14</v>
      </c>
      <c r="C1163">
        <v>7.9</v>
      </c>
      <c r="D1163" t="str">
        <f t="shared" si="54"/>
        <v>High</v>
      </c>
      <c r="E1163" t="s">
        <v>15</v>
      </c>
      <c r="F1163" s="1">
        <v>4.0999999999999996</v>
      </c>
      <c r="G1163" t="str">
        <f t="shared" si="55"/>
        <v>Low</v>
      </c>
      <c r="H1163">
        <v>1.6</v>
      </c>
      <c r="I1163">
        <v>2.74</v>
      </c>
      <c r="J1163" s="1">
        <v>0.9</v>
      </c>
      <c r="K1163" t="str">
        <f t="shared" si="56"/>
        <v>0-1 hours</v>
      </c>
      <c r="L1163" t="s">
        <v>17</v>
      </c>
      <c r="M1163">
        <v>9</v>
      </c>
      <c r="N1163">
        <v>3</v>
      </c>
      <c r="O1163">
        <v>5</v>
      </c>
      <c r="P1163">
        <v>0</v>
      </c>
    </row>
    <row r="1164" spans="1:16" x14ac:dyDescent="0.25">
      <c r="A1164">
        <v>16</v>
      </c>
      <c r="B1164" t="s">
        <v>14</v>
      </c>
      <c r="C1164">
        <v>5.5</v>
      </c>
      <c r="D1164" t="str">
        <f t="shared" si="54"/>
        <v>Medium</v>
      </c>
      <c r="E1164" t="s">
        <v>18</v>
      </c>
      <c r="F1164" s="1">
        <v>5.8</v>
      </c>
      <c r="G1164" t="str">
        <f t="shared" si="55"/>
        <v>Low</v>
      </c>
      <c r="H1164">
        <v>2.5</v>
      </c>
      <c r="I1164">
        <v>2.34</v>
      </c>
      <c r="J1164" s="1">
        <v>1</v>
      </c>
      <c r="K1164" t="str">
        <f t="shared" si="56"/>
        <v>0-1 hours</v>
      </c>
      <c r="L1164" t="s">
        <v>13</v>
      </c>
      <c r="M1164">
        <v>5</v>
      </c>
      <c r="N1164">
        <v>2</v>
      </c>
      <c r="O1164">
        <v>8</v>
      </c>
      <c r="P1164">
        <v>0</v>
      </c>
    </row>
    <row r="1165" spans="1:16" x14ac:dyDescent="0.25">
      <c r="A1165">
        <v>19</v>
      </c>
      <c r="B1165" t="s">
        <v>11</v>
      </c>
      <c r="C1165">
        <v>4</v>
      </c>
      <c r="D1165" t="str">
        <f t="shared" si="54"/>
        <v>Medium</v>
      </c>
      <c r="E1165" t="s">
        <v>12</v>
      </c>
      <c r="F1165" s="1">
        <v>7.8</v>
      </c>
      <c r="G1165" t="str">
        <f t="shared" si="55"/>
        <v>Low</v>
      </c>
      <c r="H1165">
        <v>0.6</v>
      </c>
      <c r="I1165">
        <v>3.61</v>
      </c>
      <c r="J1165" s="1">
        <v>1.7</v>
      </c>
      <c r="K1165" t="str">
        <f t="shared" si="56"/>
        <v>1-2 hours</v>
      </c>
      <c r="L1165" t="s">
        <v>16</v>
      </c>
      <c r="M1165">
        <v>2</v>
      </c>
      <c r="N1165">
        <v>7</v>
      </c>
      <c r="O1165">
        <v>9</v>
      </c>
      <c r="P1165">
        <v>0</v>
      </c>
    </row>
    <row r="1166" spans="1:16" x14ac:dyDescent="0.25">
      <c r="A1166">
        <v>15</v>
      </c>
      <c r="B1166" t="s">
        <v>14</v>
      </c>
      <c r="C1166">
        <v>7.9</v>
      </c>
      <c r="D1166" t="str">
        <f t="shared" si="54"/>
        <v>High</v>
      </c>
      <c r="E1166" t="s">
        <v>15</v>
      </c>
      <c r="F1166" s="1">
        <v>4.7</v>
      </c>
      <c r="G1166" t="str">
        <f t="shared" si="55"/>
        <v>Low</v>
      </c>
      <c r="H1166">
        <v>1.5</v>
      </c>
      <c r="I1166">
        <v>3.3</v>
      </c>
      <c r="J1166" s="1">
        <v>0</v>
      </c>
      <c r="K1166" t="str">
        <f t="shared" si="56"/>
        <v>No activity</v>
      </c>
      <c r="L1166" t="s">
        <v>13</v>
      </c>
      <c r="M1166">
        <v>5</v>
      </c>
      <c r="N1166">
        <v>8</v>
      </c>
      <c r="O1166">
        <v>5</v>
      </c>
      <c r="P1166">
        <v>0</v>
      </c>
    </row>
    <row r="1167" spans="1:16" x14ac:dyDescent="0.25">
      <c r="A1167">
        <v>18</v>
      </c>
      <c r="B1167" t="s">
        <v>14</v>
      </c>
      <c r="C1167">
        <v>5.5</v>
      </c>
      <c r="D1167" t="str">
        <f t="shared" si="54"/>
        <v>Medium</v>
      </c>
      <c r="E1167" t="s">
        <v>18</v>
      </c>
      <c r="F1167" s="1">
        <v>8.1999999999999993</v>
      </c>
      <c r="G1167" t="str">
        <f t="shared" si="55"/>
        <v>Normal</v>
      </c>
      <c r="H1167">
        <v>0.5</v>
      </c>
      <c r="I1167">
        <v>3.15</v>
      </c>
      <c r="J1167" s="1">
        <v>1.2</v>
      </c>
      <c r="K1167" t="str">
        <f t="shared" si="56"/>
        <v>1-2 hours</v>
      </c>
      <c r="L1167" t="s">
        <v>17</v>
      </c>
      <c r="M1167">
        <v>8</v>
      </c>
      <c r="N1167">
        <v>7</v>
      </c>
      <c r="O1167">
        <v>7</v>
      </c>
      <c r="P1167">
        <v>0</v>
      </c>
    </row>
    <row r="1168" spans="1:16" x14ac:dyDescent="0.25">
      <c r="A1168">
        <v>17</v>
      </c>
      <c r="B1168" t="s">
        <v>14</v>
      </c>
      <c r="C1168">
        <v>7.6</v>
      </c>
      <c r="D1168" t="str">
        <f t="shared" si="54"/>
        <v>High</v>
      </c>
      <c r="E1168" t="s">
        <v>18</v>
      </c>
      <c r="F1168" s="1">
        <v>7.1</v>
      </c>
      <c r="G1168" t="str">
        <f t="shared" si="55"/>
        <v>Low</v>
      </c>
      <c r="H1168">
        <v>1.1000000000000001</v>
      </c>
      <c r="I1168">
        <v>2.0699999999999998</v>
      </c>
      <c r="J1168" s="1">
        <v>1.9</v>
      </c>
      <c r="K1168" t="str">
        <f t="shared" si="56"/>
        <v>1-2 hours</v>
      </c>
      <c r="L1168" t="s">
        <v>16</v>
      </c>
      <c r="M1168">
        <v>3</v>
      </c>
      <c r="N1168">
        <v>2</v>
      </c>
      <c r="O1168">
        <v>6</v>
      </c>
      <c r="P1168">
        <v>0</v>
      </c>
    </row>
    <row r="1169" spans="1:16" x14ac:dyDescent="0.25">
      <c r="A1169">
        <v>13</v>
      </c>
      <c r="B1169" t="s">
        <v>11</v>
      </c>
      <c r="C1169">
        <v>1.3</v>
      </c>
      <c r="D1169" t="str">
        <f t="shared" si="54"/>
        <v>Low</v>
      </c>
      <c r="E1169" t="s">
        <v>15</v>
      </c>
      <c r="F1169" s="1">
        <v>4.4000000000000004</v>
      </c>
      <c r="G1169" t="str">
        <f t="shared" si="55"/>
        <v>Low</v>
      </c>
      <c r="H1169">
        <v>0.9</v>
      </c>
      <c r="I1169">
        <v>2.99</v>
      </c>
      <c r="J1169" s="1">
        <v>0</v>
      </c>
      <c r="K1169" t="str">
        <f t="shared" si="56"/>
        <v>No activity</v>
      </c>
      <c r="L1169" t="s">
        <v>16</v>
      </c>
      <c r="M1169">
        <v>8</v>
      </c>
      <c r="N1169">
        <v>2</v>
      </c>
      <c r="O1169">
        <v>5</v>
      </c>
      <c r="P1169">
        <v>0</v>
      </c>
    </row>
    <row r="1170" spans="1:16" x14ac:dyDescent="0.25">
      <c r="A1170">
        <v>16</v>
      </c>
      <c r="B1170" t="s">
        <v>11</v>
      </c>
      <c r="C1170">
        <v>7.3</v>
      </c>
      <c r="D1170" t="str">
        <f t="shared" si="54"/>
        <v>High</v>
      </c>
      <c r="E1170" t="s">
        <v>15</v>
      </c>
      <c r="F1170" s="1">
        <v>7</v>
      </c>
      <c r="G1170" t="str">
        <f t="shared" si="55"/>
        <v>Low</v>
      </c>
      <c r="H1170">
        <v>2.2000000000000002</v>
      </c>
      <c r="I1170">
        <v>2.0699999999999998</v>
      </c>
      <c r="J1170" s="1">
        <v>1</v>
      </c>
      <c r="K1170" t="str">
        <f t="shared" si="56"/>
        <v>0-1 hours</v>
      </c>
      <c r="L1170" t="s">
        <v>17</v>
      </c>
      <c r="M1170">
        <v>3</v>
      </c>
      <c r="N1170">
        <v>7</v>
      </c>
      <c r="O1170">
        <v>1</v>
      </c>
      <c r="P1170">
        <v>0</v>
      </c>
    </row>
    <row r="1171" spans="1:16" x14ac:dyDescent="0.25">
      <c r="A1171">
        <v>18</v>
      </c>
      <c r="B1171" t="s">
        <v>11</v>
      </c>
      <c r="C1171">
        <v>4.3</v>
      </c>
      <c r="D1171" t="str">
        <f t="shared" si="54"/>
        <v>Medium</v>
      </c>
      <c r="E1171" t="s">
        <v>12</v>
      </c>
      <c r="F1171" s="1">
        <v>6.7</v>
      </c>
      <c r="G1171" t="str">
        <f t="shared" si="55"/>
        <v>Low</v>
      </c>
      <c r="H1171">
        <v>2.5</v>
      </c>
      <c r="I1171">
        <v>3.19</v>
      </c>
      <c r="J1171" s="1">
        <v>1</v>
      </c>
      <c r="K1171" t="str">
        <f t="shared" si="56"/>
        <v>0-1 hours</v>
      </c>
      <c r="L1171" t="s">
        <v>16</v>
      </c>
      <c r="M1171">
        <v>5</v>
      </c>
      <c r="N1171">
        <v>5</v>
      </c>
      <c r="O1171">
        <v>5</v>
      </c>
      <c r="P1171">
        <v>0</v>
      </c>
    </row>
    <row r="1172" spans="1:16" x14ac:dyDescent="0.25">
      <c r="A1172">
        <v>16</v>
      </c>
      <c r="B1172" t="s">
        <v>11</v>
      </c>
      <c r="C1172">
        <v>7.1</v>
      </c>
      <c r="D1172" t="str">
        <f t="shared" si="54"/>
        <v>High</v>
      </c>
      <c r="E1172" t="s">
        <v>15</v>
      </c>
      <c r="F1172" s="1">
        <v>7.7</v>
      </c>
      <c r="G1172" t="str">
        <f t="shared" si="55"/>
        <v>Low</v>
      </c>
      <c r="H1172">
        <v>1.9</v>
      </c>
      <c r="I1172">
        <v>2.2400000000000002</v>
      </c>
      <c r="J1172" s="1">
        <v>0.6</v>
      </c>
      <c r="K1172" t="str">
        <f t="shared" si="56"/>
        <v>0-1 hours</v>
      </c>
      <c r="L1172" t="s">
        <v>16</v>
      </c>
      <c r="M1172">
        <v>8</v>
      </c>
      <c r="N1172">
        <v>10</v>
      </c>
      <c r="O1172">
        <v>5</v>
      </c>
      <c r="P1172">
        <v>0</v>
      </c>
    </row>
    <row r="1173" spans="1:16" x14ac:dyDescent="0.25">
      <c r="A1173">
        <v>14</v>
      </c>
      <c r="B1173" t="s">
        <v>14</v>
      </c>
      <c r="C1173">
        <v>5.7</v>
      </c>
      <c r="D1173" t="str">
        <f t="shared" si="54"/>
        <v>Medium</v>
      </c>
      <c r="E1173" t="s">
        <v>15</v>
      </c>
      <c r="F1173" s="1">
        <v>6.4</v>
      </c>
      <c r="G1173" t="str">
        <f t="shared" si="55"/>
        <v>Low</v>
      </c>
      <c r="H1173">
        <v>1.9</v>
      </c>
      <c r="I1173">
        <v>3.3</v>
      </c>
      <c r="J1173" s="1">
        <v>1.3</v>
      </c>
      <c r="K1173" t="str">
        <f t="shared" si="56"/>
        <v>1-2 hours</v>
      </c>
      <c r="L1173" t="s">
        <v>16</v>
      </c>
      <c r="M1173">
        <v>6</v>
      </c>
      <c r="N1173">
        <v>8</v>
      </c>
      <c r="O1173">
        <v>5</v>
      </c>
      <c r="P1173">
        <v>0</v>
      </c>
    </row>
    <row r="1174" spans="1:16" x14ac:dyDescent="0.25">
      <c r="A1174">
        <v>18</v>
      </c>
      <c r="B1174" t="s">
        <v>14</v>
      </c>
      <c r="C1174">
        <v>5.2</v>
      </c>
      <c r="D1174" t="str">
        <f t="shared" si="54"/>
        <v>Medium</v>
      </c>
      <c r="E1174" t="s">
        <v>18</v>
      </c>
      <c r="F1174" s="1">
        <v>7.3</v>
      </c>
      <c r="G1174" t="str">
        <f t="shared" si="55"/>
        <v>Low</v>
      </c>
      <c r="H1174">
        <v>1.7</v>
      </c>
      <c r="I1174">
        <v>3.33</v>
      </c>
      <c r="J1174" s="1">
        <v>0.9</v>
      </c>
      <c r="K1174" t="str">
        <f t="shared" si="56"/>
        <v>0-1 hours</v>
      </c>
      <c r="L1174" t="s">
        <v>13</v>
      </c>
      <c r="M1174">
        <v>7</v>
      </c>
      <c r="N1174">
        <v>4</v>
      </c>
      <c r="O1174">
        <v>9</v>
      </c>
      <c r="P1174">
        <v>0</v>
      </c>
    </row>
    <row r="1175" spans="1:16" x14ac:dyDescent="0.25">
      <c r="A1175">
        <v>17</v>
      </c>
      <c r="B1175" t="s">
        <v>11</v>
      </c>
      <c r="C1175">
        <v>3.1</v>
      </c>
      <c r="D1175" t="str">
        <f t="shared" si="54"/>
        <v>Medium</v>
      </c>
      <c r="E1175" t="s">
        <v>15</v>
      </c>
      <c r="F1175" s="1">
        <v>7.7</v>
      </c>
      <c r="G1175" t="str">
        <f t="shared" si="55"/>
        <v>Low</v>
      </c>
      <c r="H1175">
        <v>2.2000000000000002</v>
      </c>
      <c r="I1175">
        <v>3.72</v>
      </c>
      <c r="J1175" s="1">
        <v>1.4</v>
      </c>
      <c r="K1175" t="str">
        <f t="shared" si="56"/>
        <v>1-2 hours</v>
      </c>
      <c r="L1175" t="s">
        <v>17</v>
      </c>
      <c r="M1175">
        <v>1</v>
      </c>
      <c r="N1175">
        <v>5</v>
      </c>
      <c r="O1175">
        <v>8</v>
      </c>
      <c r="P1175">
        <v>0</v>
      </c>
    </row>
    <row r="1176" spans="1:16" x14ac:dyDescent="0.25">
      <c r="A1176">
        <v>13</v>
      </c>
      <c r="B1176" t="s">
        <v>11</v>
      </c>
      <c r="C1176">
        <v>3</v>
      </c>
      <c r="D1176" t="str">
        <f t="shared" si="54"/>
        <v>Medium</v>
      </c>
      <c r="E1176" t="s">
        <v>18</v>
      </c>
      <c r="F1176" s="1">
        <v>6.2</v>
      </c>
      <c r="G1176" t="str">
        <f t="shared" si="55"/>
        <v>Low</v>
      </c>
      <c r="H1176">
        <v>0.8</v>
      </c>
      <c r="I1176">
        <v>3.96</v>
      </c>
      <c r="J1176" s="1">
        <v>1.1000000000000001</v>
      </c>
      <c r="K1176" t="str">
        <f t="shared" si="56"/>
        <v>1-2 hours</v>
      </c>
      <c r="L1176" t="s">
        <v>13</v>
      </c>
      <c r="M1176">
        <v>9</v>
      </c>
      <c r="N1176">
        <v>10</v>
      </c>
      <c r="O1176">
        <v>3</v>
      </c>
      <c r="P1176">
        <v>0</v>
      </c>
    </row>
    <row r="1177" spans="1:16" x14ac:dyDescent="0.25">
      <c r="A1177">
        <v>17</v>
      </c>
      <c r="B1177" t="s">
        <v>14</v>
      </c>
      <c r="C1177">
        <v>6</v>
      </c>
      <c r="D1177" t="str">
        <f t="shared" si="54"/>
        <v>Medium</v>
      </c>
      <c r="E1177" t="s">
        <v>18</v>
      </c>
      <c r="F1177" s="1">
        <v>4.2</v>
      </c>
      <c r="G1177" t="str">
        <f t="shared" si="55"/>
        <v>Low</v>
      </c>
      <c r="H1177">
        <v>2.2000000000000002</v>
      </c>
      <c r="I1177">
        <v>2.27</v>
      </c>
      <c r="J1177" s="1">
        <v>0.5</v>
      </c>
      <c r="K1177" t="str">
        <f t="shared" si="56"/>
        <v>0-1 hours</v>
      </c>
      <c r="L1177" t="s">
        <v>17</v>
      </c>
      <c r="M1177">
        <v>1</v>
      </c>
      <c r="N1177">
        <v>4</v>
      </c>
      <c r="O1177">
        <v>5</v>
      </c>
      <c r="P1177">
        <v>0</v>
      </c>
    </row>
    <row r="1178" spans="1:16" x14ac:dyDescent="0.25">
      <c r="A1178">
        <v>13</v>
      </c>
      <c r="B1178" t="s">
        <v>11</v>
      </c>
      <c r="C1178">
        <v>5.9</v>
      </c>
      <c r="D1178" t="str">
        <f t="shared" si="54"/>
        <v>Medium</v>
      </c>
      <c r="E1178" t="s">
        <v>12</v>
      </c>
      <c r="F1178" s="1">
        <v>8.6</v>
      </c>
      <c r="G1178" t="str">
        <f t="shared" si="55"/>
        <v>Normal</v>
      </c>
      <c r="H1178">
        <v>1.9</v>
      </c>
      <c r="I1178">
        <v>3.88</v>
      </c>
      <c r="J1178" s="1">
        <v>0.2</v>
      </c>
      <c r="K1178" t="str">
        <f t="shared" si="56"/>
        <v>0-1 hours</v>
      </c>
      <c r="L1178" t="s">
        <v>17</v>
      </c>
      <c r="M1178">
        <v>1</v>
      </c>
      <c r="N1178">
        <v>6</v>
      </c>
      <c r="O1178">
        <v>9</v>
      </c>
      <c r="P1178">
        <v>0</v>
      </c>
    </row>
    <row r="1179" spans="1:16" x14ac:dyDescent="0.25">
      <c r="A1179">
        <v>15</v>
      </c>
      <c r="B1179" t="s">
        <v>11</v>
      </c>
      <c r="C1179">
        <v>5.0999999999999996</v>
      </c>
      <c r="D1179" t="str">
        <f t="shared" si="54"/>
        <v>Medium</v>
      </c>
      <c r="E1179" t="s">
        <v>15</v>
      </c>
      <c r="F1179" s="1">
        <v>5.5</v>
      </c>
      <c r="G1179" t="str">
        <f t="shared" si="55"/>
        <v>Low</v>
      </c>
      <c r="H1179">
        <v>0.7</v>
      </c>
      <c r="I1179">
        <v>2.13</v>
      </c>
      <c r="J1179" s="1">
        <v>0.5</v>
      </c>
      <c r="K1179" t="str">
        <f t="shared" si="56"/>
        <v>0-1 hours</v>
      </c>
      <c r="L1179" t="s">
        <v>17</v>
      </c>
      <c r="M1179">
        <v>6</v>
      </c>
      <c r="N1179">
        <v>10</v>
      </c>
      <c r="O1179">
        <v>8</v>
      </c>
      <c r="P1179">
        <v>0</v>
      </c>
    </row>
    <row r="1180" spans="1:16" x14ac:dyDescent="0.25">
      <c r="A1180">
        <v>19</v>
      </c>
      <c r="B1180" t="s">
        <v>14</v>
      </c>
      <c r="C1180">
        <v>3.5</v>
      </c>
      <c r="D1180" t="str">
        <f t="shared" si="54"/>
        <v>Medium</v>
      </c>
      <c r="E1180" t="s">
        <v>12</v>
      </c>
      <c r="F1180" s="1">
        <v>4.9000000000000004</v>
      </c>
      <c r="G1180" t="str">
        <f t="shared" si="55"/>
        <v>Low</v>
      </c>
      <c r="H1180">
        <v>0.5</v>
      </c>
      <c r="I1180">
        <v>3.68</v>
      </c>
      <c r="J1180" s="1">
        <v>1.7</v>
      </c>
      <c r="K1180" t="str">
        <f t="shared" si="56"/>
        <v>1-2 hours</v>
      </c>
      <c r="L1180" t="s">
        <v>16</v>
      </c>
      <c r="M1180">
        <v>8</v>
      </c>
      <c r="N1180">
        <v>4</v>
      </c>
      <c r="O1180">
        <v>3</v>
      </c>
      <c r="P1180">
        <v>0</v>
      </c>
    </row>
    <row r="1181" spans="1:16" x14ac:dyDescent="0.25">
      <c r="A1181">
        <v>16</v>
      </c>
      <c r="B1181" t="s">
        <v>11</v>
      </c>
      <c r="C1181">
        <v>5.3</v>
      </c>
      <c r="D1181" t="str">
        <f t="shared" si="54"/>
        <v>Medium</v>
      </c>
      <c r="E1181" t="s">
        <v>15</v>
      </c>
      <c r="F1181" s="1">
        <v>5.3</v>
      </c>
      <c r="G1181" t="str">
        <f t="shared" si="55"/>
        <v>Low</v>
      </c>
      <c r="H1181">
        <v>2.4</v>
      </c>
      <c r="I1181">
        <v>3.01</v>
      </c>
      <c r="J1181" s="1">
        <v>1.6</v>
      </c>
      <c r="K1181" t="str">
        <f t="shared" si="56"/>
        <v>1-2 hours</v>
      </c>
      <c r="L1181" t="s">
        <v>17</v>
      </c>
      <c r="M1181">
        <v>2</v>
      </c>
      <c r="N1181">
        <v>9</v>
      </c>
      <c r="O1181">
        <v>1</v>
      </c>
      <c r="P1181">
        <v>0</v>
      </c>
    </row>
    <row r="1182" spans="1:16" x14ac:dyDescent="0.25">
      <c r="A1182">
        <v>13</v>
      </c>
      <c r="B1182" t="s">
        <v>14</v>
      </c>
      <c r="C1182">
        <v>4.0999999999999996</v>
      </c>
      <c r="D1182" t="str">
        <f t="shared" si="54"/>
        <v>Medium</v>
      </c>
      <c r="E1182" t="s">
        <v>12</v>
      </c>
      <c r="F1182" s="1">
        <v>7.5</v>
      </c>
      <c r="G1182" t="str">
        <f t="shared" si="55"/>
        <v>Low</v>
      </c>
      <c r="H1182">
        <v>1.7</v>
      </c>
      <c r="I1182">
        <v>3.12</v>
      </c>
      <c r="J1182" s="1">
        <v>2</v>
      </c>
      <c r="K1182" t="str">
        <f t="shared" si="56"/>
        <v>1-2 hours</v>
      </c>
      <c r="L1182" t="s">
        <v>17</v>
      </c>
      <c r="M1182">
        <v>1</v>
      </c>
      <c r="N1182">
        <v>4</v>
      </c>
      <c r="O1182">
        <v>9</v>
      </c>
      <c r="P1182">
        <v>0</v>
      </c>
    </row>
    <row r="1183" spans="1:16" x14ac:dyDescent="0.25">
      <c r="A1183">
        <v>18</v>
      </c>
      <c r="B1183" t="s">
        <v>11</v>
      </c>
      <c r="C1183">
        <v>4.0999999999999996</v>
      </c>
      <c r="D1183" t="str">
        <f t="shared" si="54"/>
        <v>Medium</v>
      </c>
      <c r="E1183" t="s">
        <v>12</v>
      </c>
      <c r="F1183" s="1">
        <v>6.7</v>
      </c>
      <c r="G1183" t="str">
        <f t="shared" si="55"/>
        <v>Low</v>
      </c>
      <c r="H1183">
        <v>2.1</v>
      </c>
      <c r="I1183">
        <v>2.5</v>
      </c>
      <c r="J1183" s="1">
        <v>0.1</v>
      </c>
      <c r="K1183" t="str">
        <f t="shared" si="56"/>
        <v>0-1 hours</v>
      </c>
      <c r="L1183" t="s">
        <v>17</v>
      </c>
      <c r="M1183">
        <v>8</v>
      </c>
      <c r="N1183">
        <v>1</v>
      </c>
      <c r="O1183">
        <v>5</v>
      </c>
      <c r="P1183">
        <v>0</v>
      </c>
    </row>
    <row r="1184" spans="1:16" x14ac:dyDescent="0.25">
      <c r="A1184">
        <v>15</v>
      </c>
      <c r="B1184" t="s">
        <v>11</v>
      </c>
      <c r="C1184">
        <v>6.3</v>
      </c>
      <c r="D1184" t="str">
        <f t="shared" si="54"/>
        <v>Medium</v>
      </c>
      <c r="E1184" t="s">
        <v>15</v>
      </c>
      <c r="F1184" s="1">
        <v>6.8</v>
      </c>
      <c r="G1184" t="str">
        <f t="shared" si="55"/>
        <v>Low</v>
      </c>
      <c r="H1184">
        <v>1.8</v>
      </c>
      <c r="I1184">
        <v>2.59</v>
      </c>
      <c r="J1184" s="1">
        <v>1.9</v>
      </c>
      <c r="K1184" t="str">
        <f t="shared" si="56"/>
        <v>1-2 hours</v>
      </c>
      <c r="L1184" t="s">
        <v>16</v>
      </c>
      <c r="M1184">
        <v>10</v>
      </c>
      <c r="N1184">
        <v>5</v>
      </c>
      <c r="O1184">
        <v>5</v>
      </c>
      <c r="P1184">
        <v>0</v>
      </c>
    </row>
    <row r="1185" spans="1:16" x14ac:dyDescent="0.25">
      <c r="A1185">
        <v>19</v>
      </c>
      <c r="B1185" t="s">
        <v>14</v>
      </c>
      <c r="C1185">
        <v>6.6</v>
      </c>
      <c r="D1185" t="str">
        <f t="shared" si="54"/>
        <v>Medium</v>
      </c>
      <c r="E1185" t="s">
        <v>18</v>
      </c>
      <c r="F1185" s="1">
        <v>9</v>
      </c>
      <c r="G1185" t="str">
        <f t="shared" si="55"/>
        <v>Normal</v>
      </c>
      <c r="H1185">
        <v>2.9</v>
      </c>
      <c r="I1185">
        <v>2.4700000000000002</v>
      </c>
      <c r="J1185" s="1">
        <v>1.7</v>
      </c>
      <c r="K1185" t="str">
        <f t="shared" si="56"/>
        <v>1-2 hours</v>
      </c>
      <c r="L1185" t="s">
        <v>17</v>
      </c>
      <c r="M1185">
        <v>3</v>
      </c>
      <c r="N1185">
        <v>7</v>
      </c>
      <c r="O1185">
        <v>9</v>
      </c>
      <c r="P1185">
        <v>0</v>
      </c>
    </row>
    <row r="1186" spans="1:16" x14ac:dyDescent="0.25">
      <c r="A1186">
        <v>19</v>
      </c>
      <c r="B1186" t="s">
        <v>11</v>
      </c>
      <c r="C1186">
        <v>1.4</v>
      </c>
      <c r="D1186" t="str">
        <f t="shared" si="54"/>
        <v>Low</v>
      </c>
      <c r="E1186" t="s">
        <v>18</v>
      </c>
      <c r="F1186" s="1">
        <v>4.5</v>
      </c>
      <c r="G1186" t="str">
        <f t="shared" si="55"/>
        <v>Low</v>
      </c>
      <c r="H1186">
        <v>2.2999999999999998</v>
      </c>
      <c r="I1186">
        <v>3.9</v>
      </c>
      <c r="J1186" s="1">
        <v>0</v>
      </c>
      <c r="K1186" t="str">
        <f t="shared" si="56"/>
        <v>No activity</v>
      </c>
      <c r="L1186" t="s">
        <v>17</v>
      </c>
      <c r="M1186">
        <v>2</v>
      </c>
      <c r="N1186">
        <v>8</v>
      </c>
      <c r="O1186">
        <v>10</v>
      </c>
      <c r="P1186">
        <v>0</v>
      </c>
    </row>
    <row r="1187" spans="1:16" x14ac:dyDescent="0.25">
      <c r="A1187">
        <v>19</v>
      </c>
      <c r="B1187" t="s">
        <v>11</v>
      </c>
      <c r="C1187">
        <v>2.4</v>
      </c>
      <c r="D1187" t="str">
        <f t="shared" si="54"/>
        <v>Medium</v>
      </c>
      <c r="E1187" t="s">
        <v>15</v>
      </c>
      <c r="F1187" s="1">
        <v>9</v>
      </c>
      <c r="G1187" t="str">
        <f t="shared" si="55"/>
        <v>Normal</v>
      </c>
      <c r="H1187">
        <v>2.4</v>
      </c>
      <c r="I1187">
        <v>3.13</v>
      </c>
      <c r="J1187" s="1">
        <v>0.5</v>
      </c>
      <c r="K1187" t="str">
        <f t="shared" si="56"/>
        <v>0-1 hours</v>
      </c>
      <c r="L1187" t="s">
        <v>16</v>
      </c>
      <c r="M1187">
        <v>5</v>
      </c>
      <c r="N1187">
        <v>3</v>
      </c>
      <c r="O1187">
        <v>3</v>
      </c>
      <c r="P1187">
        <v>0</v>
      </c>
    </row>
    <row r="1188" spans="1:16" x14ac:dyDescent="0.25">
      <c r="A1188">
        <v>18</v>
      </c>
      <c r="B1188" t="s">
        <v>11</v>
      </c>
      <c r="C1188">
        <v>1.6</v>
      </c>
      <c r="D1188" t="str">
        <f t="shared" si="54"/>
        <v>Low</v>
      </c>
      <c r="E1188" t="s">
        <v>18</v>
      </c>
      <c r="F1188" s="1">
        <v>5.4</v>
      </c>
      <c r="G1188" t="str">
        <f t="shared" si="55"/>
        <v>Low</v>
      </c>
      <c r="H1188">
        <v>2</v>
      </c>
      <c r="I1188">
        <v>3.2</v>
      </c>
      <c r="J1188" s="1">
        <v>1.8</v>
      </c>
      <c r="K1188" t="str">
        <f t="shared" si="56"/>
        <v>1-2 hours</v>
      </c>
      <c r="L1188" t="s">
        <v>13</v>
      </c>
      <c r="M1188">
        <v>8</v>
      </c>
      <c r="N1188">
        <v>8</v>
      </c>
      <c r="O1188">
        <v>3</v>
      </c>
      <c r="P1188">
        <v>0</v>
      </c>
    </row>
    <row r="1189" spans="1:16" x14ac:dyDescent="0.25">
      <c r="A1189">
        <v>18</v>
      </c>
      <c r="B1189" t="s">
        <v>11</v>
      </c>
      <c r="C1189">
        <v>2</v>
      </c>
      <c r="D1189" t="str">
        <f t="shared" si="54"/>
        <v>Medium</v>
      </c>
      <c r="E1189" t="s">
        <v>12</v>
      </c>
      <c r="F1189" s="1">
        <v>8.9</v>
      </c>
      <c r="G1189" t="str">
        <f t="shared" si="55"/>
        <v>Normal</v>
      </c>
      <c r="H1189">
        <v>0.8</v>
      </c>
      <c r="I1189">
        <v>2.96</v>
      </c>
      <c r="J1189" s="1">
        <v>0.5</v>
      </c>
      <c r="K1189" t="str">
        <f t="shared" si="56"/>
        <v>0-1 hours</v>
      </c>
      <c r="L1189" t="s">
        <v>17</v>
      </c>
      <c r="M1189">
        <v>6</v>
      </c>
      <c r="N1189">
        <v>2</v>
      </c>
      <c r="O1189">
        <v>2</v>
      </c>
      <c r="P1189">
        <v>0</v>
      </c>
    </row>
    <row r="1190" spans="1:16" x14ac:dyDescent="0.25">
      <c r="A1190">
        <v>17</v>
      </c>
      <c r="B1190" t="s">
        <v>14</v>
      </c>
      <c r="C1190">
        <v>7.4</v>
      </c>
      <c r="D1190" t="str">
        <f t="shared" si="54"/>
        <v>High</v>
      </c>
      <c r="E1190" t="s">
        <v>12</v>
      </c>
      <c r="F1190" s="1">
        <v>7.4</v>
      </c>
      <c r="G1190" t="str">
        <f t="shared" si="55"/>
        <v>Low</v>
      </c>
      <c r="H1190">
        <v>2</v>
      </c>
      <c r="I1190">
        <v>3.76</v>
      </c>
      <c r="J1190" s="1">
        <v>1.7</v>
      </c>
      <c r="K1190" t="str">
        <f t="shared" si="56"/>
        <v>1-2 hours</v>
      </c>
      <c r="L1190" t="s">
        <v>16</v>
      </c>
      <c r="M1190">
        <v>10</v>
      </c>
      <c r="N1190">
        <v>1</v>
      </c>
      <c r="O1190">
        <v>4</v>
      </c>
      <c r="P1190">
        <v>0</v>
      </c>
    </row>
    <row r="1191" spans="1:16" x14ac:dyDescent="0.25">
      <c r="A1191">
        <v>14</v>
      </c>
      <c r="B1191" t="s">
        <v>14</v>
      </c>
      <c r="C1191">
        <v>1.6</v>
      </c>
      <c r="D1191" t="str">
        <f t="shared" si="54"/>
        <v>Low</v>
      </c>
      <c r="E1191" t="s">
        <v>15</v>
      </c>
      <c r="F1191" s="1">
        <v>4.8</v>
      </c>
      <c r="G1191" t="str">
        <f t="shared" si="55"/>
        <v>Low</v>
      </c>
      <c r="H1191">
        <v>2.4</v>
      </c>
      <c r="I1191">
        <v>2.97</v>
      </c>
      <c r="J1191" s="1">
        <v>1.9</v>
      </c>
      <c r="K1191" t="str">
        <f t="shared" si="56"/>
        <v>1-2 hours</v>
      </c>
      <c r="L1191" t="s">
        <v>13</v>
      </c>
      <c r="M1191">
        <v>9</v>
      </c>
      <c r="N1191">
        <v>9</v>
      </c>
      <c r="O1191">
        <v>10</v>
      </c>
      <c r="P1191">
        <v>0</v>
      </c>
    </row>
    <row r="1192" spans="1:16" x14ac:dyDescent="0.25">
      <c r="A1192">
        <v>17</v>
      </c>
      <c r="B1192" t="s">
        <v>14</v>
      </c>
      <c r="C1192">
        <v>3.8</v>
      </c>
      <c r="D1192" t="str">
        <f t="shared" si="54"/>
        <v>Medium</v>
      </c>
      <c r="E1192" t="s">
        <v>12</v>
      </c>
      <c r="F1192" s="1">
        <v>8.4</v>
      </c>
      <c r="G1192" t="str">
        <f t="shared" si="55"/>
        <v>Normal</v>
      </c>
      <c r="H1192">
        <v>0.9</v>
      </c>
      <c r="I1192">
        <v>3.6</v>
      </c>
      <c r="J1192" s="1">
        <v>1.9</v>
      </c>
      <c r="K1192" t="str">
        <f t="shared" si="56"/>
        <v>1-2 hours</v>
      </c>
      <c r="L1192" t="s">
        <v>16</v>
      </c>
      <c r="M1192">
        <v>1</v>
      </c>
      <c r="N1192">
        <v>2</v>
      </c>
      <c r="O1192">
        <v>2</v>
      </c>
      <c r="P1192">
        <v>0</v>
      </c>
    </row>
    <row r="1193" spans="1:16" x14ac:dyDescent="0.25">
      <c r="A1193">
        <v>19</v>
      </c>
      <c r="B1193" t="s">
        <v>11</v>
      </c>
      <c r="C1193">
        <v>8</v>
      </c>
      <c r="D1193" t="str">
        <f t="shared" si="54"/>
        <v>High</v>
      </c>
      <c r="E1193" t="s">
        <v>15</v>
      </c>
      <c r="F1193" s="1">
        <v>4.7</v>
      </c>
      <c r="G1193" t="str">
        <f t="shared" si="55"/>
        <v>Low</v>
      </c>
      <c r="H1193">
        <v>0.5</v>
      </c>
      <c r="I1193">
        <v>2.1800000000000002</v>
      </c>
      <c r="J1193" s="1">
        <v>0.6</v>
      </c>
      <c r="K1193" t="str">
        <f t="shared" si="56"/>
        <v>0-1 hours</v>
      </c>
      <c r="L1193" t="s">
        <v>17</v>
      </c>
      <c r="M1193">
        <v>8</v>
      </c>
      <c r="N1193">
        <v>8</v>
      </c>
      <c r="O1193">
        <v>6</v>
      </c>
      <c r="P1193">
        <v>1</v>
      </c>
    </row>
    <row r="1194" spans="1:16" x14ac:dyDescent="0.25">
      <c r="A1194">
        <v>13</v>
      </c>
      <c r="B1194" t="s">
        <v>11</v>
      </c>
      <c r="C1194">
        <v>7.8</v>
      </c>
      <c r="D1194" t="str">
        <f t="shared" si="54"/>
        <v>High</v>
      </c>
      <c r="E1194" t="s">
        <v>15</v>
      </c>
      <c r="F1194" s="1">
        <v>5.9</v>
      </c>
      <c r="G1194" t="str">
        <f t="shared" si="55"/>
        <v>Low</v>
      </c>
      <c r="H1194">
        <v>1.5</v>
      </c>
      <c r="I1194">
        <v>3.31</v>
      </c>
      <c r="J1194" s="1">
        <v>1.9</v>
      </c>
      <c r="K1194" t="str">
        <f t="shared" si="56"/>
        <v>1-2 hours</v>
      </c>
      <c r="L1194" t="s">
        <v>16</v>
      </c>
      <c r="M1194">
        <v>10</v>
      </c>
      <c r="N1194">
        <v>1</v>
      </c>
      <c r="O1194">
        <v>10</v>
      </c>
      <c r="P1194">
        <v>0</v>
      </c>
    </row>
    <row r="1195" spans="1:16" x14ac:dyDescent="0.25">
      <c r="A1195">
        <v>13</v>
      </c>
      <c r="B1195" t="s">
        <v>14</v>
      </c>
      <c r="C1195">
        <v>7.2</v>
      </c>
      <c r="D1195" t="str">
        <f t="shared" si="54"/>
        <v>High</v>
      </c>
      <c r="E1195" t="s">
        <v>12</v>
      </c>
      <c r="F1195" s="1">
        <v>8.1</v>
      </c>
      <c r="G1195" t="str">
        <f t="shared" si="55"/>
        <v>Normal</v>
      </c>
      <c r="H1195">
        <v>2.1</v>
      </c>
      <c r="I1195">
        <v>2.52</v>
      </c>
      <c r="J1195" s="1">
        <v>0.4</v>
      </c>
      <c r="K1195" t="str">
        <f t="shared" si="56"/>
        <v>0-1 hours</v>
      </c>
      <c r="L1195" t="s">
        <v>17</v>
      </c>
      <c r="M1195">
        <v>3</v>
      </c>
      <c r="N1195">
        <v>3</v>
      </c>
      <c r="O1195">
        <v>7</v>
      </c>
      <c r="P1195">
        <v>0</v>
      </c>
    </row>
    <row r="1196" spans="1:16" x14ac:dyDescent="0.25">
      <c r="A1196">
        <v>17</v>
      </c>
      <c r="B1196" t="s">
        <v>11</v>
      </c>
      <c r="C1196">
        <v>2</v>
      </c>
      <c r="D1196" t="str">
        <f t="shared" si="54"/>
        <v>Medium</v>
      </c>
      <c r="E1196" t="s">
        <v>18</v>
      </c>
      <c r="F1196" s="1">
        <v>4.5</v>
      </c>
      <c r="G1196" t="str">
        <f t="shared" si="55"/>
        <v>Low</v>
      </c>
      <c r="H1196">
        <v>1.7</v>
      </c>
      <c r="I1196">
        <v>2.65</v>
      </c>
      <c r="J1196" s="1">
        <v>0</v>
      </c>
      <c r="K1196" t="str">
        <f t="shared" si="56"/>
        <v>No activity</v>
      </c>
      <c r="L1196" t="s">
        <v>17</v>
      </c>
      <c r="M1196">
        <v>9</v>
      </c>
      <c r="N1196">
        <v>4</v>
      </c>
      <c r="O1196">
        <v>2</v>
      </c>
      <c r="P1196">
        <v>0</v>
      </c>
    </row>
    <row r="1197" spans="1:16" x14ac:dyDescent="0.25">
      <c r="A1197">
        <v>18</v>
      </c>
      <c r="B1197" t="s">
        <v>14</v>
      </c>
      <c r="C1197">
        <v>6.8</v>
      </c>
      <c r="D1197" t="str">
        <f t="shared" si="54"/>
        <v>Medium</v>
      </c>
      <c r="E1197" t="s">
        <v>12</v>
      </c>
      <c r="F1197" s="1">
        <v>6.6</v>
      </c>
      <c r="G1197" t="str">
        <f t="shared" si="55"/>
        <v>Low</v>
      </c>
      <c r="H1197">
        <v>2</v>
      </c>
      <c r="I1197">
        <v>2.76</v>
      </c>
      <c r="J1197" s="1">
        <v>1</v>
      </c>
      <c r="K1197" t="str">
        <f t="shared" si="56"/>
        <v>0-1 hours</v>
      </c>
      <c r="L1197" t="s">
        <v>13</v>
      </c>
      <c r="M1197">
        <v>3</v>
      </c>
      <c r="N1197">
        <v>4</v>
      </c>
      <c r="O1197">
        <v>4</v>
      </c>
      <c r="P1197">
        <v>0</v>
      </c>
    </row>
    <row r="1198" spans="1:16" x14ac:dyDescent="0.25">
      <c r="A1198">
        <v>16</v>
      </c>
      <c r="B1198" t="s">
        <v>11</v>
      </c>
      <c r="C1198">
        <v>2.2999999999999998</v>
      </c>
      <c r="D1198" t="str">
        <f t="shared" si="54"/>
        <v>Medium</v>
      </c>
      <c r="E1198" t="s">
        <v>18</v>
      </c>
      <c r="F1198" s="1">
        <v>8</v>
      </c>
      <c r="G1198" t="str">
        <f t="shared" si="55"/>
        <v>Normal</v>
      </c>
      <c r="H1198">
        <v>1.9</v>
      </c>
      <c r="I1198">
        <v>2.12</v>
      </c>
      <c r="J1198" s="1">
        <v>0.4</v>
      </c>
      <c r="K1198" t="str">
        <f t="shared" si="56"/>
        <v>0-1 hours</v>
      </c>
      <c r="L1198" t="s">
        <v>16</v>
      </c>
      <c r="M1198">
        <v>7</v>
      </c>
      <c r="N1198">
        <v>4</v>
      </c>
      <c r="O1198">
        <v>4</v>
      </c>
      <c r="P1198">
        <v>0</v>
      </c>
    </row>
    <row r="1199" spans="1:16" x14ac:dyDescent="0.25">
      <c r="A1199">
        <v>14</v>
      </c>
      <c r="B1199" t="s">
        <v>14</v>
      </c>
      <c r="C1199">
        <v>1.7</v>
      </c>
      <c r="D1199" t="str">
        <f t="shared" si="54"/>
        <v>Low</v>
      </c>
      <c r="E1199" t="s">
        <v>18</v>
      </c>
      <c r="F1199" s="1">
        <v>8.6999999999999993</v>
      </c>
      <c r="G1199" t="str">
        <f t="shared" si="55"/>
        <v>Normal</v>
      </c>
      <c r="H1199">
        <v>0.7</v>
      </c>
      <c r="I1199">
        <v>3.98</v>
      </c>
      <c r="J1199" s="1">
        <v>0.8</v>
      </c>
      <c r="K1199" t="str">
        <f t="shared" si="56"/>
        <v>0-1 hours</v>
      </c>
      <c r="L1199" t="s">
        <v>16</v>
      </c>
      <c r="M1199">
        <v>1</v>
      </c>
      <c r="N1199">
        <v>1</v>
      </c>
      <c r="O1199">
        <v>1</v>
      </c>
      <c r="P1199">
        <v>0</v>
      </c>
    </row>
    <row r="1200" spans="1:16" x14ac:dyDescent="0.25">
      <c r="A1200">
        <v>15</v>
      </c>
      <c r="B1200" t="s">
        <v>11</v>
      </c>
      <c r="C1200">
        <v>3.9</v>
      </c>
      <c r="D1200" t="str">
        <f t="shared" si="54"/>
        <v>Medium</v>
      </c>
      <c r="E1200" t="s">
        <v>18</v>
      </c>
      <c r="F1200" s="1">
        <v>8.5</v>
      </c>
      <c r="G1200" t="str">
        <f t="shared" si="55"/>
        <v>Normal</v>
      </c>
      <c r="H1200">
        <v>2.1</v>
      </c>
      <c r="I1200">
        <v>3.19</v>
      </c>
      <c r="J1200" s="1">
        <v>0.6</v>
      </c>
      <c r="K1200" t="str">
        <f t="shared" si="56"/>
        <v>0-1 hours</v>
      </c>
      <c r="L1200" t="s">
        <v>16</v>
      </c>
      <c r="M1200">
        <v>7</v>
      </c>
      <c r="N1200">
        <v>9</v>
      </c>
      <c r="O1200">
        <v>9</v>
      </c>
      <c r="P1200">
        <v>0</v>
      </c>
    </row>
    <row r="1201" spans="1:16" x14ac:dyDescent="0.25">
      <c r="A1201">
        <v>16</v>
      </c>
      <c r="B1201" t="s">
        <v>14</v>
      </c>
      <c r="C1201">
        <v>4.7</v>
      </c>
      <c r="D1201" t="str">
        <f t="shared" si="54"/>
        <v>Medium</v>
      </c>
      <c r="E1201" t="s">
        <v>15</v>
      </c>
      <c r="F1201" s="1">
        <v>6.5</v>
      </c>
      <c r="G1201" t="str">
        <f t="shared" si="55"/>
        <v>Low</v>
      </c>
      <c r="H1201">
        <v>1</v>
      </c>
      <c r="I1201">
        <v>2.91</v>
      </c>
      <c r="J1201" s="1">
        <v>0.9</v>
      </c>
      <c r="K1201" t="str">
        <f t="shared" si="56"/>
        <v>0-1 hours</v>
      </c>
      <c r="L1201" t="s">
        <v>17</v>
      </c>
      <c r="M1201">
        <v>5</v>
      </c>
      <c r="N1201">
        <v>7</v>
      </c>
      <c r="O1201">
        <v>3</v>
      </c>
      <c r="P120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6FDE-FEF0-449E-B09C-4FD4A023EB10}">
  <dimension ref="B1:Q76"/>
  <sheetViews>
    <sheetView topLeftCell="A49" zoomScaleNormal="100" workbookViewId="0">
      <selection activeCell="M16" sqref="M16"/>
    </sheetView>
  </sheetViews>
  <sheetFormatPr defaultRowHeight="15" x14ac:dyDescent="0.25"/>
  <cols>
    <col min="1" max="1" width="12.7109375" customWidth="1"/>
    <col min="2" max="17" width="13.7109375" customWidth="1"/>
    <col min="18" max="18" width="9.5703125" bestFit="1" customWidth="1"/>
    <col min="19" max="19" width="12.7109375" customWidth="1"/>
    <col min="20" max="20" width="13.7109375" customWidth="1"/>
    <col min="21" max="23" width="5.7109375" bestFit="1" customWidth="1"/>
    <col min="24" max="24" width="11.85546875" bestFit="1" customWidth="1"/>
    <col min="25" max="25" width="7.28515625" bestFit="1" customWidth="1"/>
    <col min="26" max="31" width="5.7109375" bestFit="1" customWidth="1"/>
    <col min="32" max="32" width="10" bestFit="1" customWidth="1"/>
    <col min="33" max="33" width="11.85546875" bestFit="1" customWidth="1"/>
    <col min="34" max="36" width="4.140625" bestFit="1" customWidth="1"/>
    <col min="37" max="37" width="2.140625" bestFit="1" customWidth="1"/>
    <col min="38" max="46" width="4.140625" bestFit="1" customWidth="1"/>
    <col min="47" max="47" width="2.140625" bestFit="1" customWidth="1"/>
    <col min="48" max="56" width="4.140625" bestFit="1" customWidth="1"/>
    <col min="57" max="57" width="2.140625" bestFit="1" customWidth="1"/>
    <col min="58" max="66" width="4.140625" bestFit="1" customWidth="1"/>
    <col min="67" max="67" width="2.140625" bestFit="1" customWidth="1"/>
    <col min="68" max="76" width="4.140625" bestFit="1" customWidth="1"/>
    <col min="77" max="77" width="2.140625" bestFit="1" customWidth="1"/>
    <col min="78" max="86" width="4.140625" bestFit="1" customWidth="1"/>
    <col min="87" max="87" width="2.140625" bestFit="1" customWidth="1"/>
    <col min="88" max="88" width="5.42578125" bestFit="1" customWidth="1"/>
  </cols>
  <sheetData>
    <row r="1" spans="2:17" ht="14.1" customHeight="1" x14ac:dyDescent="0.25"/>
    <row r="2" spans="2:17" ht="14.1" customHeight="1" x14ac:dyDescent="0.25"/>
    <row r="3" spans="2:17" ht="14.1" customHeight="1" x14ac:dyDescent="0.25"/>
    <row r="4" spans="2:17" ht="14.1" customHeight="1" x14ac:dyDescent="0.25"/>
    <row r="5" spans="2:17" ht="14.1" customHeight="1" x14ac:dyDescent="0.25">
      <c r="B5" s="19" t="s">
        <v>82</v>
      </c>
      <c r="C5" s="19"/>
      <c r="E5" s="19" t="s">
        <v>65</v>
      </c>
      <c r="F5" s="19"/>
      <c r="G5" s="19"/>
      <c r="H5" s="19"/>
      <c r="J5" s="19" t="s">
        <v>69</v>
      </c>
      <c r="K5" s="19"/>
      <c r="L5" s="19"/>
      <c r="N5" s="19" t="s">
        <v>66</v>
      </c>
      <c r="O5" s="19"/>
      <c r="P5" s="19"/>
      <c r="Q5" s="19"/>
    </row>
    <row r="6" spans="2:17" x14ac:dyDescent="0.25">
      <c r="B6" s="2" t="s">
        <v>25</v>
      </c>
      <c r="C6" t="s">
        <v>29</v>
      </c>
      <c r="E6" s="2" t="s">
        <v>64</v>
      </c>
      <c r="F6" s="2" t="s">
        <v>23</v>
      </c>
      <c r="J6" s="2" t="s">
        <v>37</v>
      </c>
      <c r="K6" s="2" t="s">
        <v>25</v>
      </c>
      <c r="N6" s="11" t="s">
        <v>0</v>
      </c>
      <c r="O6" s="13" t="s">
        <v>39</v>
      </c>
      <c r="P6" s="13" t="s">
        <v>40</v>
      </c>
      <c r="Q6" s="13" t="s">
        <v>41</v>
      </c>
    </row>
    <row r="7" spans="2:17" ht="14.1" customHeight="1" x14ac:dyDescent="0.25">
      <c r="B7" s="3" t="s">
        <v>28</v>
      </c>
      <c r="C7" s="5">
        <v>0.97416666666666663</v>
      </c>
      <c r="E7" s="2" t="s">
        <v>21</v>
      </c>
      <c r="F7" t="s">
        <v>14</v>
      </c>
      <c r="G7" t="s">
        <v>11</v>
      </c>
      <c r="H7" t="s">
        <v>22</v>
      </c>
      <c r="J7" s="2" t="s">
        <v>51</v>
      </c>
      <c r="K7" t="s">
        <v>26</v>
      </c>
      <c r="L7" t="s">
        <v>22</v>
      </c>
      <c r="N7" s="3" t="s">
        <v>14</v>
      </c>
      <c r="O7" s="4">
        <v>5.4222222222222225</v>
      </c>
      <c r="P7" s="4">
        <v>5.6871794871794874</v>
      </c>
      <c r="Q7" s="4">
        <v>5.4854700854700855</v>
      </c>
    </row>
    <row r="8" spans="2:17" ht="14.1" customHeight="1" x14ac:dyDescent="0.25">
      <c r="B8" s="3" t="s">
        <v>26</v>
      </c>
      <c r="C8" s="5">
        <v>2.5833333333333333E-2</v>
      </c>
      <c r="E8" s="3">
        <v>13</v>
      </c>
      <c r="F8">
        <v>1</v>
      </c>
      <c r="G8">
        <v>3</v>
      </c>
      <c r="H8">
        <v>4</v>
      </c>
      <c r="J8" s="3" t="s">
        <v>14</v>
      </c>
      <c r="K8">
        <v>17</v>
      </c>
      <c r="L8">
        <v>17</v>
      </c>
      <c r="N8" s="3" t="s">
        <v>11</v>
      </c>
      <c r="O8" s="4">
        <v>5.4682926829268297</v>
      </c>
      <c r="P8" s="4">
        <v>5.588617886178862</v>
      </c>
      <c r="Q8" s="4">
        <v>5.640650406504065</v>
      </c>
    </row>
    <row r="9" spans="2:17" ht="14.1" customHeight="1" x14ac:dyDescent="0.25">
      <c r="B9" s="3" t="s">
        <v>22</v>
      </c>
      <c r="C9" s="5">
        <v>1</v>
      </c>
      <c r="E9" s="3">
        <v>14</v>
      </c>
      <c r="F9">
        <v>2</v>
      </c>
      <c r="G9">
        <v>1</v>
      </c>
      <c r="H9">
        <v>3</v>
      </c>
      <c r="J9" s="3" t="s">
        <v>11</v>
      </c>
      <c r="K9">
        <v>14</v>
      </c>
      <c r="L9">
        <v>14</v>
      </c>
      <c r="N9" s="3" t="s">
        <v>22</v>
      </c>
      <c r="O9" s="4">
        <v>5.4458333333333337</v>
      </c>
      <c r="P9" s="4">
        <v>5.6366666666666667</v>
      </c>
      <c r="Q9" s="4">
        <v>5.5650000000000004</v>
      </c>
    </row>
    <row r="10" spans="2:17" ht="14.1" customHeight="1" x14ac:dyDescent="0.25">
      <c r="E10" s="3">
        <v>15</v>
      </c>
      <c r="F10">
        <v>5</v>
      </c>
      <c r="G10">
        <v>3</v>
      </c>
      <c r="H10">
        <v>8</v>
      </c>
      <c r="J10" s="3" t="s">
        <v>22</v>
      </c>
      <c r="K10">
        <v>31</v>
      </c>
      <c r="L10">
        <v>31</v>
      </c>
    </row>
    <row r="11" spans="2:17" ht="14.1" customHeight="1" x14ac:dyDescent="0.25">
      <c r="E11" s="3">
        <v>16</v>
      </c>
      <c r="F11">
        <v>4</v>
      </c>
      <c r="G11">
        <v>0</v>
      </c>
      <c r="H11">
        <v>4</v>
      </c>
    </row>
    <row r="12" spans="2:17" ht="14.1" customHeight="1" x14ac:dyDescent="0.25">
      <c r="E12" s="3">
        <v>17</v>
      </c>
      <c r="F12">
        <v>1</v>
      </c>
      <c r="G12">
        <v>1</v>
      </c>
      <c r="H12">
        <v>2</v>
      </c>
    </row>
    <row r="13" spans="2:17" ht="14.1" customHeight="1" x14ac:dyDescent="0.25">
      <c r="B13" s="19" t="s">
        <v>68</v>
      </c>
      <c r="C13" s="19"/>
      <c r="E13" s="3">
        <v>18</v>
      </c>
      <c r="F13">
        <v>3</v>
      </c>
      <c r="G13">
        <v>1</v>
      </c>
      <c r="H13">
        <v>4</v>
      </c>
    </row>
    <row r="14" spans="2:17" ht="14.1" customHeight="1" x14ac:dyDescent="0.25">
      <c r="B14" s="2" t="s">
        <v>25</v>
      </c>
      <c r="C14" t="s">
        <v>27</v>
      </c>
      <c r="E14" s="3">
        <v>19</v>
      </c>
      <c r="F14">
        <v>1</v>
      </c>
      <c r="G14">
        <v>5</v>
      </c>
      <c r="H14">
        <v>6</v>
      </c>
    </row>
    <row r="15" spans="2:17" ht="14.1" customHeight="1" x14ac:dyDescent="0.25">
      <c r="B15" s="3" t="s">
        <v>26</v>
      </c>
      <c r="C15" s="1">
        <v>16.06451612903226</v>
      </c>
      <c r="E15" s="3" t="s">
        <v>22</v>
      </c>
      <c r="F15" s="9">
        <v>17</v>
      </c>
      <c r="G15" s="9">
        <v>14</v>
      </c>
      <c r="H15" s="9">
        <v>31</v>
      </c>
      <c r="J15" s="19" t="s">
        <v>67</v>
      </c>
      <c r="K15" s="19"/>
      <c r="L15" s="19"/>
      <c r="M15" s="19"/>
    </row>
    <row r="16" spans="2:17" x14ac:dyDescent="0.25">
      <c r="B16" s="3" t="s">
        <v>22</v>
      </c>
      <c r="C16" s="1">
        <v>16.06451612903226</v>
      </c>
      <c r="J16" s="11" t="s">
        <v>45</v>
      </c>
      <c r="K16" s="13" t="s">
        <v>39</v>
      </c>
      <c r="L16" s="13" t="s">
        <v>40</v>
      </c>
      <c r="M16" s="13" t="s">
        <v>41</v>
      </c>
    </row>
    <row r="17" spans="2:13" ht="14.1" customHeight="1" x14ac:dyDescent="0.25">
      <c r="J17" s="3">
        <v>13</v>
      </c>
      <c r="K17" s="4">
        <v>5.46</v>
      </c>
      <c r="L17" s="4">
        <v>5.5549999999999997</v>
      </c>
      <c r="M17" s="4">
        <v>5.7450000000000001</v>
      </c>
    </row>
    <row r="18" spans="2:13" ht="14.1" customHeight="1" x14ac:dyDescent="0.25">
      <c r="J18" s="3">
        <v>14</v>
      </c>
      <c r="K18" s="4">
        <v>6.1764705882352944</v>
      </c>
      <c r="L18" s="4">
        <v>5.333333333333333</v>
      </c>
      <c r="M18" s="4">
        <v>5.2026143790849675</v>
      </c>
    </row>
    <row r="19" spans="2:13" ht="14.1" customHeight="1" x14ac:dyDescent="0.25">
      <c r="B19" t="s">
        <v>53</v>
      </c>
      <c r="E19" s="19" t="s">
        <v>70</v>
      </c>
      <c r="F19" s="19"/>
      <c r="G19" s="19"/>
      <c r="H19" s="19"/>
      <c r="J19" s="3">
        <v>15</v>
      </c>
      <c r="K19" s="4">
        <v>5.1333333333333337</v>
      </c>
      <c r="L19" s="4">
        <v>5.916666666666667</v>
      </c>
      <c r="M19" s="4">
        <v>5.2833333333333332</v>
      </c>
    </row>
    <row r="20" spans="2:13" ht="14.1" customHeight="1" x14ac:dyDescent="0.25">
      <c r="B20" s="4">
        <v>5.4458333333333337</v>
      </c>
      <c r="E20" s="2" t="s">
        <v>25</v>
      </c>
      <c r="F20" t="s">
        <v>39</v>
      </c>
      <c r="G20" t="s">
        <v>58</v>
      </c>
      <c r="H20" t="s">
        <v>41</v>
      </c>
      <c r="J20" s="3">
        <v>16</v>
      </c>
      <c r="K20" s="4">
        <v>5.4539877300613497</v>
      </c>
      <c r="L20" s="4">
        <v>5.6441717791411046</v>
      </c>
      <c r="M20" s="4">
        <v>5.4110429447852759</v>
      </c>
    </row>
    <row r="21" spans="2:13" ht="14.1" customHeight="1" x14ac:dyDescent="0.25">
      <c r="E21" s="3" t="s">
        <v>38</v>
      </c>
      <c r="F21" s="1">
        <v>5.365269461077844</v>
      </c>
      <c r="G21" s="1">
        <v>5.5577416595380669</v>
      </c>
      <c r="H21" s="1">
        <v>5.5714285714285712</v>
      </c>
      <c r="J21" s="3">
        <v>17</v>
      </c>
      <c r="K21" s="4">
        <v>5.1705882352941179</v>
      </c>
      <c r="L21" s="4">
        <v>5.5764705882352938</v>
      </c>
      <c r="M21" s="4">
        <v>5.7823529411764705</v>
      </c>
    </row>
    <row r="22" spans="2:13" ht="14.1" customHeight="1" x14ac:dyDescent="0.25">
      <c r="E22" s="3" t="s">
        <v>44</v>
      </c>
      <c r="F22" s="1">
        <v>8.4838709677419359</v>
      </c>
      <c r="G22" s="1">
        <v>8.612903225806452</v>
      </c>
      <c r="H22" s="1">
        <v>5.32258064516129</v>
      </c>
      <c r="I22" s="14"/>
      <c r="J22" s="3">
        <v>18</v>
      </c>
      <c r="K22" s="4">
        <v>5.2034883720930232</v>
      </c>
      <c r="L22" s="4">
        <v>5.4186046511627906</v>
      </c>
      <c r="M22" s="4">
        <v>5.5813953488372094</v>
      </c>
    </row>
    <row r="23" spans="2:13" ht="14.1" customHeight="1" x14ac:dyDescent="0.25">
      <c r="B23" t="s">
        <v>52</v>
      </c>
      <c r="E23" s="3" t="s">
        <v>22</v>
      </c>
      <c r="F23" s="1">
        <v>5.4458333333333337</v>
      </c>
      <c r="G23" s="1">
        <v>5.6366666666666667</v>
      </c>
      <c r="H23" s="1">
        <v>5.5650000000000004</v>
      </c>
      <c r="J23" s="3">
        <v>19</v>
      </c>
      <c r="K23" s="4">
        <v>5.6234567901234565</v>
      </c>
      <c r="L23" s="4">
        <v>6</v>
      </c>
      <c r="M23" s="4">
        <v>5.9074074074074074</v>
      </c>
    </row>
    <row r="24" spans="2:13" ht="14.1" customHeight="1" x14ac:dyDescent="0.25">
      <c r="B24" s="4">
        <v>5.6366666666666667</v>
      </c>
      <c r="C24" s="4"/>
      <c r="D24" s="4"/>
      <c r="E24" s="4"/>
      <c r="J24" s="3" t="s">
        <v>22</v>
      </c>
      <c r="K24" s="4">
        <v>5.4458333333333337</v>
      </c>
      <c r="L24" s="4">
        <v>5.6366666666666667</v>
      </c>
      <c r="M24" s="4">
        <v>5.5650000000000004</v>
      </c>
    </row>
    <row r="25" spans="2:13" ht="14.1" customHeight="1" x14ac:dyDescent="0.25"/>
    <row r="26" spans="2:13" ht="14.1" customHeight="1" x14ac:dyDescent="0.25"/>
    <row r="27" spans="2:13" ht="14.1" customHeight="1" x14ac:dyDescent="0.25"/>
    <row r="28" spans="2:13" ht="14.1" customHeight="1" x14ac:dyDescent="0.25"/>
    <row r="29" spans="2:13" ht="14.1" customHeight="1" x14ac:dyDescent="0.25"/>
    <row r="30" spans="2:13" ht="14.1" customHeight="1" x14ac:dyDescent="0.25"/>
    <row r="31" spans="2:13" ht="14.1" customHeight="1" x14ac:dyDescent="0.25">
      <c r="B31" t="s">
        <v>59</v>
      </c>
      <c r="E31" s="20" t="s">
        <v>73</v>
      </c>
      <c r="F31" s="20"/>
      <c r="H31" s="16" t="s">
        <v>76</v>
      </c>
      <c r="I31" s="16"/>
      <c r="J31" s="16"/>
      <c r="K31" s="16"/>
    </row>
    <row r="32" spans="2:13" ht="14.1" customHeight="1" x14ac:dyDescent="0.25">
      <c r="B32" s="4">
        <v>4.5366666666666724</v>
      </c>
      <c r="E32" s="2" t="s">
        <v>36</v>
      </c>
      <c r="F32" t="s">
        <v>37</v>
      </c>
      <c r="H32" s="2" t="s">
        <v>36</v>
      </c>
      <c r="I32" t="s">
        <v>39</v>
      </c>
      <c r="J32" t="s">
        <v>40</v>
      </c>
      <c r="K32" t="s">
        <v>41</v>
      </c>
    </row>
    <row r="33" spans="2:11" ht="14.1" customHeight="1" x14ac:dyDescent="0.25">
      <c r="E33" s="3" t="s">
        <v>33</v>
      </c>
      <c r="F33" s="9">
        <v>151</v>
      </c>
      <c r="H33" s="3" t="s">
        <v>33</v>
      </c>
      <c r="I33" s="4">
        <v>5.4900662251655632</v>
      </c>
      <c r="J33" s="4">
        <v>5.298013245033113</v>
      </c>
      <c r="K33" s="4">
        <v>5.9072847682119205</v>
      </c>
    </row>
    <row r="34" spans="2:11" ht="14.1" customHeight="1" x14ac:dyDescent="0.25">
      <c r="E34" s="3" t="s">
        <v>34</v>
      </c>
      <c r="F34" s="9">
        <v>844</v>
      </c>
      <c r="H34" s="3" t="s">
        <v>34</v>
      </c>
      <c r="I34" s="4">
        <v>5.3838862559241702</v>
      </c>
      <c r="J34" s="4">
        <v>5.6966824644549767</v>
      </c>
      <c r="K34" s="4">
        <v>5.540284360189573</v>
      </c>
    </row>
    <row r="35" spans="2:11" ht="14.1" customHeight="1" x14ac:dyDescent="0.25">
      <c r="E35" s="3" t="s">
        <v>32</v>
      </c>
      <c r="F35" s="9">
        <v>205</v>
      </c>
      <c r="H35" s="3" t="s">
        <v>32</v>
      </c>
      <c r="I35" s="4">
        <v>5.668292682926829</v>
      </c>
      <c r="J35" s="4">
        <v>5.6390243902439021</v>
      </c>
      <c r="K35" s="4">
        <v>5.4146341463414638</v>
      </c>
    </row>
    <row r="36" spans="2:11" ht="14.1" customHeight="1" x14ac:dyDescent="0.25">
      <c r="B36" s="20" t="s">
        <v>71</v>
      </c>
      <c r="C36" s="20"/>
      <c r="E36" s="3" t="s">
        <v>35</v>
      </c>
      <c r="F36" s="9">
        <v>1200</v>
      </c>
      <c r="H36" s="3" t="s">
        <v>22</v>
      </c>
      <c r="I36" s="4">
        <v>5.4458333333333337</v>
      </c>
      <c r="J36" s="4">
        <v>5.6366666666666667</v>
      </c>
      <c r="K36" s="4">
        <v>5.5650000000000004</v>
      </c>
    </row>
    <row r="37" spans="2:11" ht="14.1" customHeight="1" x14ac:dyDescent="0.25">
      <c r="B37" s="2" t="s">
        <v>25</v>
      </c>
      <c r="C37" t="s">
        <v>31</v>
      </c>
    </row>
    <row r="38" spans="2:11" ht="14.1" customHeight="1" x14ac:dyDescent="0.25">
      <c r="B38" s="3" t="s">
        <v>38</v>
      </c>
      <c r="C38" s="4">
        <v>4.4787852865697237</v>
      </c>
    </row>
    <row r="39" spans="2:11" ht="14.1" customHeight="1" x14ac:dyDescent="0.25">
      <c r="B39" s="3" t="s">
        <v>44</v>
      </c>
      <c r="C39" s="4">
        <v>6.7193548387096804</v>
      </c>
    </row>
    <row r="40" spans="2:11" ht="14.1" customHeight="1" x14ac:dyDescent="0.25">
      <c r="B40" s="3" t="s">
        <v>22</v>
      </c>
      <c r="C40" s="4">
        <v>4.5366666666666715</v>
      </c>
      <c r="E40" s="16" t="s">
        <v>75</v>
      </c>
      <c r="F40" s="16"/>
    </row>
    <row r="41" spans="2:11" ht="14.1" customHeight="1" x14ac:dyDescent="0.25">
      <c r="E41" s="2" t="s">
        <v>21</v>
      </c>
      <c r="F41" t="s">
        <v>74</v>
      </c>
    </row>
    <row r="42" spans="2:11" ht="14.1" customHeight="1" x14ac:dyDescent="0.25">
      <c r="E42" s="3">
        <v>13</v>
      </c>
      <c r="F42" s="4">
        <v>4.5109999999999975</v>
      </c>
    </row>
    <row r="43" spans="2:11" ht="14.1" customHeight="1" x14ac:dyDescent="0.25">
      <c r="E43" s="3">
        <v>14</v>
      </c>
      <c r="F43" s="4">
        <v>4.3509803921568633</v>
      </c>
    </row>
    <row r="44" spans="2:11" ht="14.1" customHeight="1" x14ac:dyDescent="0.25">
      <c r="B44" s="19" t="s">
        <v>72</v>
      </c>
      <c r="C44" s="19"/>
      <c r="E44" s="3">
        <v>15</v>
      </c>
      <c r="F44" s="4">
        <v>4.7172222222222207</v>
      </c>
    </row>
    <row r="45" spans="2:11" ht="14.1" customHeight="1" x14ac:dyDescent="0.25">
      <c r="B45" s="2" t="s">
        <v>42</v>
      </c>
      <c r="C45" t="s">
        <v>37</v>
      </c>
      <c r="E45" s="3">
        <v>16</v>
      </c>
      <c r="F45" s="4">
        <v>4.6368098159509215</v>
      </c>
    </row>
    <row r="46" spans="2:11" ht="14.1" customHeight="1" x14ac:dyDescent="0.25">
      <c r="B46" s="3" t="s">
        <v>12</v>
      </c>
      <c r="C46" s="5">
        <v>0.34250000000000003</v>
      </c>
      <c r="E46" s="3">
        <v>17</v>
      </c>
      <c r="F46" s="4">
        <v>4.763529411764706</v>
      </c>
    </row>
    <row r="47" spans="2:11" ht="14.1" customHeight="1" x14ac:dyDescent="0.25">
      <c r="B47" s="3" t="s">
        <v>15</v>
      </c>
      <c r="C47" s="5">
        <v>0.33166666666666667</v>
      </c>
      <c r="E47" s="3">
        <v>18</v>
      </c>
      <c r="F47" s="4">
        <v>4.2424418604651146</v>
      </c>
    </row>
    <row r="48" spans="2:11" ht="14.1" customHeight="1" x14ac:dyDescent="0.25">
      <c r="B48" s="3" t="s">
        <v>18</v>
      </c>
      <c r="C48" s="5">
        <v>0.32583333333333331</v>
      </c>
      <c r="E48" s="3">
        <v>19</v>
      </c>
      <c r="F48" s="4">
        <v>4.5166666666666657</v>
      </c>
    </row>
    <row r="49" spans="2:14" ht="14.1" customHeight="1" x14ac:dyDescent="0.25">
      <c r="B49" s="3" t="s">
        <v>35</v>
      </c>
      <c r="C49" s="5">
        <v>1</v>
      </c>
      <c r="E49" s="3" t="s">
        <v>22</v>
      </c>
      <c r="F49" s="4">
        <v>4.5366666666666697</v>
      </c>
    </row>
    <row r="50" spans="2:14" ht="14.1" customHeight="1" x14ac:dyDescent="0.25"/>
    <row r="51" spans="2:14" ht="14.1" customHeight="1" x14ac:dyDescent="0.25"/>
    <row r="52" spans="2:14" ht="14.1" customHeight="1" x14ac:dyDescent="0.25"/>
    <row r="53" spans="2:14" ht="14.1" customHeight="1" x14ac:dyDescent="0.25"/>
    <row r="54" spans="2:14" ht="14.1" customHeight="1" x14ac:dyDescent="0.25"/>
    <row r="55" spans="2:14" ht="14.1" customHeight="1" x14ac:dyDescent="0.25">
      <c r="B55" s="10" t="s">
        <v>47</v>
      </c>
      <c r="D55" s="15" t="s">
        <v>77</v>
      </c>
      <c r="E55" s="15"/>
      <c r="H55" s="17" t="s">
        <v>79</v>
      </c>
      <c r="I55" s="17"/>
      <c r="J55" s="17"/>
      <c r="K55" s="17"/>
      <c r="M55" s="17" t="s">
        <v>81</v>
      </c>
      <c r="N55" s="17"/>
    </row>
    <row r="56" spans="2:14" ht="14.1" customHeight="1" x14ac:dyDescent="0.25">
      <c r="B56" s="4">
        <v>6.4494166666666679</v>
      </c>
      <c r="D56" s="2" t="s">
        <v>49</v>
      </c>
      <c r="E56" t="s">
        <v>50</v>
      </c>
      <c r="H56" s="2" t="s">
        <v>49</v>
      </c>
      <c r="I56" t="s">
        <v>39</v>
      </c>
      <c r="J56" t="s">
        <v>40</v>
      </c>
      <c r="K56" t="s">
        <v>41</v>
      </c>
      <c r="M56" s="2" t="s">
        <v>63</v>
      </c>
      <c r="N56" t="s">
        <v>50</v>
      </c>
    </row>
    <row r="57" spans="2:14" ht="14.1" customHeight="1" x14ac:dyDescent="0.25">
      <c r="D57" s="3" t="s">
        <v>33</v>
      </c>
      <c r="E57" s="5">
        <v>0.80166666666666664</v>
      </c>
      <c r="H57" s="3" t="s">
        <v>46</v>
      </c>
      <c r="I57" s="4">
        <v>5.2983193277310923</v>
      </c>
      <c r="J57" s="4">
        <v>5.7773109243697478</v>
      </c>
      <c r="K57" s="4">
        <v>5.3739495798319323</v>
      </c>
      <c r="M57" s="3" t="s">
        <v>13</v>
      </c>
      <c r="N57">
        <v>415</v>
      </c>
    </row>
    <row r="58" spans="2:14" ht="14.1" customHeight="1" x14ac:dyDescent="0.25">
      <c r="D58" s="3" t="s">
        <v>46</v>
      </c>
      <c r="E58" s="5">
        <v>0.19833333333333333</v>
      </c>
      <c r="H58" s="3" t="s">
        <v>33</v>
      </c>
      <c r="I58" s="4">
        <v>5.4823284823284819</v>
      </c>
      <c r="J58" s="4">
        <v>5.6018711018711018</v>
      </c>
      <c r="K58" s="4">
        <v>5.6122661122661119</v>
      </c>
      <c r="M58" s="3" t="s">
        <v>17</v>
      </c>
      <c r="N58">
        <v>416</v>
      </c>
    </row>
    <row r="59" spans="2:14" ht="14.1" customHeight="1" x14ac:dyDescent="0.25">
      <c r="D59" s="3" t="s">
        <v>22</v>
      </c>
      <c r="E59" s="5">
        <v>1</v>
      </c>
      <c r="H59" s="3" t="s">
        <v>35</v>
      </c>
      <c r="I59" s="4">
        <v>5.4458333333333337</v>
      </c>
      <c r="J59" s="4">
        <v>5.6366666666666667</v>
      </c>
      <c r="K59" s="4">
        <v>5.5650000000000004</v>
      </c>
      <c r="M59" s="3" t="s">
        <v>16</v>
      </c>
      <c r="N59">
        <v>369</v>
      </c>
    </row>
    <row r="60" spans="2:14" ht="14.1" customHeight="1" x14ac:dyDescent="0.25">
      <c r="B60" t="s">
        <v>48</v>
      </c>
      <c r="M60" s="3" t="s">
        <v>22</v>
      </c>
      <c r="N60">
        <v>1200</v>
      </c>
    </row>
    <row r="61" spans="2:14" ht="14.1" customHeight="1" x14ac:dyDescent="0.25">
      <c r="B61" s="4">
        <v>1.0145000000000002</v>
      </c>
    </row>
    <row r="62" spans="2:14" ht="14.1" customHeight="1" x14ac:dyDescent="0.25"/>
    <row r="63" spans="2:14" ht="14.1" customHeight="1" x14ac:dyDescent="0.25">
      <c r="D63" s="16" t="s">
        <v>78</v>
      </c>
      <c r="E63" s="16"/>
      <c r="F63" s="16"/>
      <c r="H63" s="18" t="s">
        <v>80</v>
      </c>
      <c r="I63" s="18"/>
      <c r="J63" s="18"/>
      <c r="K63" s="18"/>
    </row>
    <row r="64" spans="2:14" ht="14.1" customHeight="1" x14ac:dyDescent="0.25">
      <c r="D64" s="2" t="s">
        <v>60</v>
      </c>
      <c r="E64" t="s">
        <v>61</v>
      </c>
      <c r="F64" t="s">
        <v>62</v>
      </c>
      <c r="H64" s="2" t="s">
        <v>49</v>
      </c>
      <c r="I64" t="s">
        <v>39</v>
      </c>
      <c r="J64" t="s">
        <v>40</v>
      </c>
      <c r="K64" t="s">
        <v>41</v>
      </c>
    </row>
    <row r="65" spans="2:11" ht="14.1" customHeight="1" x14ac:dyDescent="0.25">
      <c r="B65" t="s">
        <v>57</v>
      </c>
      <c r="D65" s="3" t="s">
        <v>38</v>
      </c>
      <c r="E65" s="4">
        <v>6.4941830624465373</v>
      </c>
      <c r="F65" s="4">
        <v>1.0161676646706597</v>
      </c>
      <c r="H65" s="3" t="s">
        <v>56</v>
      </c>
      <c r="I65" s="4">
        <v>5.0882352941176467</v>
      </c>
      <c r="J65" s="4">
        <v>6.1470588235294121</v>
      </c>
      <c r="K65" s="4">
        <v>6.0882352941176467</v>
      </c>
    </row>
    <row r="66" spans="2:11" ht="14.1" customHeight="1" x14ac:dyDescent="0.25">
      <c r="B66" s="4">
        <v>1.7403333333333322</v>
      </c>
      <c r="D66" s="3" t="s">
        <v>44</v>
      </c>
      <c r="E66" s="4">
        <v>4.7612903225806456</v>
      </c>
      <c r="F66" s="4">
        <v>0.95161290322580672</v>
      </c>
      <c r="H66" s="3" t="s">
        <v>54</v>
      </c>
      <c r="I66" s="4">
        <v>5.46815834767642</v>
      </c>
      <c r="J66" s="4">
        <v>5.6385542168674698</v>
      </c>
      <c r="K66" s="4">
        <v>5.4956970740103266</v>
      </c>
    </row>
    <row r="67" spans="2:11" ht="14.1" customHeight="1" x14ac:dyDescent="0.25">
      <c r="D67" s="3" t="s">
        <v>35</v>
      </c>
      <c r="E67" s="4">
        <v>6.4494166666666688</v>
      </c>
      <c r="F67" s="4">
        <v>1.0145000000000002</v>
      </c>
      <c r="H67" s="3" t="s">
        <v>55</v>
      </c>
      <c r="I67" s="4">
        <v>5.4444444444444446</v>
      </c>
      <c r="J67" s="4">
        <v>5.6051282051282048</v>
      </c>
      <c r="K67" s="4">
        <v>5.6034188034188031</v>
      </c>
    </row>
    <row r="68" spans="2:11" ht="14.1" customHeight="1" x14ac:dyDescent="0.25">
      <c r="H68" s="3" t="s">
        <v>35</v>
      </c>
      <c r="I68" s="4">
        <v>5.4458333333333337</v>
      </c>
      <c r="J68" s="4">
        <v>5.6366666666666667</v>
      </c>
      <c r="K68" s="4">
        <v>5.5650000000000004</v>
      </c>
    </row>
    <row r="69" spans="2:11" ht="14.1" customHeight="1" x14ac:dyDescent="0.25"/>
    <row r="70" spans="2:11" ht="14.1" customHeight="1" x14ac:dyDescent="0.25"/>
    <row r="71" spans="2:11" ht="14.1" customHeight="1" x14ac:dyDescent="0.25"/>
    <row r="72" spans="2:11" ht="14.1" customHeight="1" x14ac:dyDescent="0.25"/>
    <row r="73" spans="2:11" ht="14.1" customHeight="1" x14ac:dyDescent="0.25"/>
    <row r="74" spans="2:11" ht="14.1" customHeight="1" x14ac:dyDescent="0.25"/>
    <row r="75" spans="2:11" ht="14.1" customHeight="1" x14ac:dyDescent="0.25"/>
    <row r="76" spans="2:11" ht="14.1" customHeight="1" x14ac:dyDescent="0.25"/>
  </sheetData>
  <mergeCells count="17">
    <mergeCell ref="N5:Q5"/>
    <mergeCell ref="J15:M15"/>
    <mergeCell ref="B5:C5"/>
    <mergeCell ref="E19:H19"/>
    <mergeCell ref="J5:L5"/>
    <mergeCell ref="B36:C36"/>
    <mergeCell ref="B44:C44"/>
    <mergeCell ref="E31:F31"/>
    <mergeCell ref="E40:F40"/>
    <mergeCell ref="H31:K31"/>
    <mergeCell ref="E5:H5"/>
    <mergeCell ref="B13:C13"/>
    <mergeCell ref="D55:E55"/>
    <mergeCell ref="D63:F63"/>
    <mergeCell ref="H55:K55"/>
    <mergeCell ref="H63:K63"/>
    <mergeCell ref="M55:N55"/>
  </mergeCells>
  <pageMargins left="0.7" right="0.7" top="0.75" bottom="0.75" header="0.3" footer="0.3"/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BD68-1ABA-4673-BE61-030CF1B4EB84}">
  <dimension ref="D2:T41"/>
  <sheetViews>
    <sheetView showGridLines="0" zoomScaleNormal="100" workbookViewId="0">
      <selection activeCell="X32" sqref="X32"/>
    </sheetView>
  </sheetViews>
  <sheetFormatPr defaultRowHeight="15" x14ac:dyDescent="0.25"/>
  <cols>
    <col min="23" max="24" width="9.140625" customWidth="1"/>
  </cols>
  <sheetData>
    <row r="2" spans="4:20" x14ac:dyDescent="0.25"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4:20" ht="15" customHeight="1" x14ac:dyDescent="0.25"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6"/>
      <c r="T3" s="6"/>
    </row>
    <row r="4" spans="4:20" ht="15" customHeight="1" x14ac:dyDescent="0.25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6"/>
      <c r="T4" s="6"/>
    </row>
    <row r="5" spans="4:20" x14ac:dyDescent="0.25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4:20" x14ac:dyDescent="0.25"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4:20" x14ac:dyDescent="0.25"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4:20" x14ac:dyDescent="0.25"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4:20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4:20" x14ac:dyDescent="0.25"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4:20" x14ac:dyDescent="0.25"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4:20" x14ac:dyDescent="0.25"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4:20" x14ac:dyDescent="0.25"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4:20" x14ac:dyDescent="0.25"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4:20" x14ac:dyDescent="0.25"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4:20" x14ac:dyDescent="0.2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4:18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4:18" x14ac:dyDescent="0.25">
      <c r="D18" s="8"/>
      <c r="E18" s="8"/>
      <c r="F18" s="8"/>
      <c r="G18" s="8"/>
      <c r="H18" s="8"/>
      <c r="I18" s="8" t="s">
        <v>30</v>
      </c>
      <c r="J18" s="8"/>
      <c r="K18" s="8"/>
      <c r="L18" s="8"/>
      <c r="M18" s="8"/>
      <c r="N18" s="8"/>
      <c r="O18" s="8"/>
      <c r="P18" s="8"/>
      <c r="Q18" s="8"/>
      <c r="R18" s="8"/>
    </row>
    <row r="19" spans="4:18" x14ac:dyDescent="0.2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4:18" x14ac:dyDescent="0.25">
      <c r="D20" s="8"/>
      <c r="E20" s="8"/>
      <c r="F20" s="8"/>
      <c r="G20" s="8"/>
      <c r="H20" s="8"/>
      <c r="I20" s="8"/>
      <c r="J20" s="8"/>
      <c r="K20" s="8"/>
      <c r="L20" s="8"/>
      <c r="M20" s="8" t="s">
        <v>30</v>
      </c>
      <c r="N20" s="8"/>
      <c r="O20" s="8"/>
      <c r="P20" s="8"/>
      <c r="Q20" s="8"/>
      <c r="R20" s="8"/>
    </row>
    <row r="21" spans="4:18" x14ac:dyDescent="0.25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4:18" x14ac:dyDescent="0.2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4:18" x14ac:dyDescent="0.2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4:18" x14ac:dyDescent="0.2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4:18" x14ac:dyDescent="0.25">
      <c r="D25" s="8"/>
      <c r="E25" s="8"/>
      <c r="F25" s="8"/>
      <c r="G25" s="8"/>
      <c r="H25" s="8" t="s">
        <v>30</v>
      </c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4:18" x14ac:dyDescent="0.2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4:18" x14ac:dyDescent="0.2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4:18" x14ac:dyDescent="0.2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4:18" x14ac:dyDescent="0.25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4:18" x14ac:dyDescent="0.25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4:18" x14ac:dyDescent="0.25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4:18" x14ac:dyDescent="0.2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4:20" x14ac:dyDescent="0.2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4:20" x14ac:dyDescent="0.2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4:20" x14ac:dyDescent="0.2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T35" t="s">
        <v>30</v>
      </c>
    </row>
    <row r="36" spans="4:20" x14ac:dyDescent="0.2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41" spans="4:20" x14ac:dyDescent="0.25">
      <c r="I41" t="s">
        <v>30</v>
      </c>
      <c r="N41" t="s">
        <v>30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544C-6A41-44B8-8821-B993ACC3795A}">
  <dimension ref="C2:U41"/>
  <sheetViews>
    <sheetView showGridLines="0" topLeftCell="A5" zoomScaleNormal="100" workbookViewId="0">
      <selection activeCell="X18" sqref="X18"/>
    </sheetView>
  </sheetViews>
  <sheetFormatPr defaultRowHeight="15" x14ac:dyDescent="0.25"/>
  <sheetData>
    <row r="2" spans="3:19" x14ac:dyDescent="0.25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3:19" ht="15" customHeight="1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/>
      <c r="S3" s="6"/>
    </row>
    <row r="4" spans="3:19" ht="15" customHeight="1" x14ac:dyDescent="0.2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6"/>
      <c r="S4" s="6"/>
    </row>
    <row r="5" spans="3:19" x14ac:dyDescent="0.2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3:19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3:19" x14ac:dyDescent="0.2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3:19" x14ac:dyDescent="0.2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3:19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3:19" x14ac:dyDescent="0.2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3:19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3:19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3:19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3:19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3:19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3:19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3:17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3:17" x14ac:dyDescent="0.25">
      <c r="C18" s="8"/>
      <c r="D18" s="8"/>
      <c r="E18" s="8"/>
      <c r="F18" s="8"/>
      <c r="G18" s="8"/>
      <c r="H18" s="8" t="s">
        <v>30</v>
      </c>
      <c r="I18" s="8"/>
      <c r="J18" s="8"/>
      <c r="K18" s="8"/>
      <c r="L18" s="8"/>
      <c r="M18" s="8"/>
      <c r="N18" s="8"/>
      <c r="O18" s="8"/>
      <c r="P18" s="8"/>
      <c r="Q18" s="8"/>
    </row>
    <row r="19" spans="3:17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3:17" x14ac:dyDescent="0.25">
      <c r="C20" s="8"/>
      <c r="D20" s="8"/>
      <c r="E20" s="8"/>
      <c r="F20" s="8"/>
      <c r="G20" s="8"/>
      <c r="H20" s="8"/>
      <c r="I20" s="8"/>
      <c r="J20" s="8"/>
      <c r="K20" s="8"/>
      <c r="L20" s="8" t="s">
        <v>30</v>
      </c>
      <c r="M20" s="8"/>
      <c r="N20" s="8"/>
      <c r="O20" s="8"/>
      <c r="P20" s="8"/>
      <c r="Q20" s="8"/>
    </row>
    <row r="21" spans="3:17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3:17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3:17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3:17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3:17" x14ac:dyDescent="0.25">
      <c r="C25" s="8"/>
      <c r="D25" s="8"/>
      <c r="E25" s="8"/>
      <c r="F25" s="8"/>
      <c r="G25" s="8" t="s">
        <v>30</v>
      </c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3:17" x14ac:dyDescent="0.2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3:17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3:17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3:17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3:17" x14ac:dyDescent="0.25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3:17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3:17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3:21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U33" s="12"/>
    </row>
    <row r="34" spans="3:21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3:21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S35" t="s">
        <v>30</v>
      </c>
    </row>
    <row r="36" spans="3:21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41" spans="3:21" x14ac:dyDescent="0.25">
      <c r="H41" t="s">
        <v>30</v>
      </c>
      <c r="M41" t="s">
        <v>30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D16C-14D1-4FF6-B61E-4B656F569BA5}">
  <dimension ref="C2:U41"/>
  <sheetViews>
    <sheetView showGridLines="0" topLeftCell="A5" zoomScaleNormal="100" workbookViewId="0">
      <selection activeCell="W32" sqref="W32"/>
    </sheetView>
  </sheetViews>
  <sheetFormatPr defaultRowHeight="15" x14ac:dyDescent="0.25"/>
  <sheetData>
    <row r="2" spans="3:19" x14ac:dyDescent="0.25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3:19" ht="15" customHeight="1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/>
      <c r="S3" s="6"/>
    </row>
    <row r="4" spans="3:19" ht="15" customHeight="1" x14ac:dyDescent="0.2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6"/>
      <c r="S4" s="6"/>
    </row>
    <row r="5" spans="3:19" x14ac:dyDescent="0.2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3:19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3:19" x14ac:dyDescent="0.2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3:19" x14ac:dyDescent="0.2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3:19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3:19" x14ac:dyDescent="0.2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3:19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3:19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3:19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3:19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3:19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3:19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3:17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3:17" x14ac:dyDescent="0.25">
      <c r="C18" s="8"/>
      <c r="D18" s="8"/>
      <c r="E18" s="8"/>
      <c r="F18" s="8"/>
      <c r="G18" s="8"/>
      <c r="H18" s="8" t="s">
        <v>30</v>
      </c>
      <c r="I18" s="8"/>
      <c r="J18" s="8"/>
      <c r="K18" s="8"/>
      <c r="L18" s="8"/>
      <c r="M18" s="8"/>
      <c r="N18" s="8"/>
      <c r="O18" s="8"/>
      <c r="P18" s="8"/>
      <c r="Q18" s="8"/>
    </row>
    <row r="19" spans="3:17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3:17" x14ac:dyDescent="0.25">
      <c r="C20" s="8"/>
      <c r="D20" s="8"/>
      <c r="E20" s="8"/>
      <c r="F20" s="8"/>
      <c r="G20" s="8"/>
      <c r="H20" s="8"/>
      <c r="I20" s="8"/>
      <c r="J20" s="8"/>
      <c r="K20" s="8"/>
      <c r="L20" s="8" t="s">
        <v>30</v>
      </c>
      <c r="M20" s="8"/>
      <c r="N20" s="8"/>
      <c r="O20" s="8"/>
      <c r="P20" s="8"/>
      <c r="Q20" s="8"/>
    </row>
    <row r="21" spans="3:17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3:17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3:17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3:17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3:17" x14ac:dyDescent="0.25">
      <c r="C25" s="8"/>
      <c r="D25" s="8"/>
      <c r="E25" s="8"/>
      <c r="F25" s="8"/>
      <c r="G25" s="8" t="s">
        <v>30</v>
      </c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3:17" x14ac:dyDescent="0.2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3:17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3:17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3:17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3:17" x14ac:dyDescent="0.25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3:17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3:17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3:21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U33" s="12"/>
    </row>
    <row r="34" spans="3:21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3:21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S35" t="s">
        <v>30</v>
      </c>
    </row>
    <row r="36" spans="3:21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41" spans="3:21" x14ac:dyDescent="0.25">
      <c r="H41" t="s">
        <v>30</v>
      </c>
      <c r="M41" t="s">
        <v>30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1A768D-8671-4C46-98BA-2BA07F0D06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Working Sheet</vt:lpstr>
      <vt:lpstr>Pivot tables</vt:lpstr>
      <vt:lpstr>Dashboard_demographic</vt:lpstr>
      <vt:lpstr>Dashboard_socmedia</vt:lpstr>
      <vt:lpstr>Dashboard_lifestyle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Куцбах</dc:creator>
  <cp:lastModifiedBy>Анатолий Куцбах</cp:lastModifiedBy>
  <dcterms:created xsi:type="dcterms:W3CDTF">2015-06-05T18:17:20Z</dcterms:created>
  <dcterms:modified xsi:type="dcterms:W3CDTF">2026-06-15T08:33:50Z</dcterms:modified>
</cp:coreProperties>
</file>